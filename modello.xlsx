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C:\Users\Maurizio\Desktop\progetto_modulo\"/>
    </mc:Choice>
  </mc:AlternateContent>
  <xr:revisionPtr revIDLastSave="0" documentId="13_ncr:1_{BC77A0D9-254B-4D76-B5FD-461ED338D34F}" xr6:coauthVersionLast="47" xr6:coauthVersionMax="47" xr10:uidLastSave="{00000000-0000-0000-0000-000000000000}"/>
  <bookViews>
    <workbookView xWindow="-120" yWindow="-120" windowWidth="20640" windowHeight="11760" firstSheet="1" activeTab="1" xr2:uid="{00000000-000D-0000-FFFF-FFFF00000000}"/>
  </bookViews>
  <sheets>
    <sheet name="Foglio1" sheetId="6" state="hidden" r:id="rId1"/>
    <sheet name="Modulo" sheetId="7" r:id="rId2"/>
    <sheet name="Pagina 2 ( allegato)" sheetId="8" r:id="rId3"/>
  </sheets>
  <definedNames>
    <definedName name="_xlnm.Print_Area" localSheetId="1">Modulo!$B$1:$D$47</definedName>
    <definedName name="_xlnm.Print_Area" localSheetId="2">'Pagina 2 ( allegato)'!$B$1:$D$38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8" l="1"/>
  <c r="C2" i="8"/>
  <c r="B38" i="8"/>
  <c r="B33" i="8"/>
  <c r="E32" i="8"/>
  <c r="B37" i="8" s="1"/>
  <c r="B27" i="8"/>
  <c r="B22" i="8"/>
  <c r="E21" i="8"/>
  <c r="B26" i="8" s="1"/>
  <c r="B14" i="8"/>
  <c r="B9" i="8"/>
  <c r="F8" i="8"/>
  <c r="D46" i="7" s="1"/>
  <c r="E8" i="8"/>
  <c r="B13" i="8" s="1"/>
  <c r="B16" i="7"/>
  <c r="B29" i="7"/>
  <c r="B40" i="7"/>
  <c r="B35" i="7"/>
  <c r="E34" i="7"/>
  <c r="B36" i="7" s="1"/>
  <c r="E23" i="7"/>
  <c r="B25" i="7" s="1"/>
  <c r="E10" i="7"/>
  <c r="B12" i="7" s="1"/>
  <c r="B24" i="7"/>
  <c r="B11" i="7"/>
  <c r="B10" i="8" l="1"/>
  <c r="B11" i="8"/>
  <c r="B23" i="8"/>
  <c r="B12" i="8"/>
  <c r="B24" i="8"/>
  <c r="B34" i="8"/>
  <c r="B25" i="8"/>
  <c r="B35" i="8"/>
  <c r="B36" i="8"/>
  <c r="B13" i="7"/>
  <c r="B14" i="7"/>
  <c r="B15" i="7"/>
  <c r="B37" i="7"/>
  <c r="B38" i="7"/>
  <c r="B39" i="7"/>
  <c r="B26" i="7"/>
  <c r="B27" i="7"/>
  <c r="B28" i="7"/>
</calcChain>
</file>

<file path=xl/sharedStrings.xml><?xml version="1.0" encoding="utf-8"?>
<sst xmlns="http://schemas.openxmlformats.org/spreadsheetml/2006/main" count="52" uniqueCount="45">
  <si>
    <t>TIPOLOGIA  PRODOTTO</t>
  </si>
  <si>
    <t>Fanali C L  201_</t>
  </si>
  <si>
    <t>Fanali C L  301_</t>
  </si>
  <si>
    <t>Fanali C L  401_</t>
  </si>
  <si>
    <t>FLASHER CLR 70_</t>
  </si>
  <si>
    <t>Fanali C S  155_</t>
  </si>
  <si>
    <t>Fanali C S  250_</t>
  </si>
  <si>
    <t>Fanali C L  299 _</t>
  </si>
  <si>
    <t>FLASHER CLR 70H_</t>
  </si>
  <si>
    <t>Fanali C L  299 H_</t>
  </si>
  <si>
    <t>Fanali C L  301 H_</t>
  </si>
  <si>
    <t>Fanali C L  401 H_</t>
  </si>
  <si>
    <t>Fotocellula</t>
  </si>
  <si>
    <t>Regolatore di Carica</t>
  </si>
  <si>
    <t>Bianca</t>
  </si>
  <si>
    <t>Rossa</t>
  </si>
  <si>
    <t>Verde</t>
  </si>
  <si>
    <t>Gialla</t>
  </si>
  <si>
    <t>Settorizzato</t>
  </si>
  <si>
    <t>Oscurato</t>
  </si>
  <si>
    <t>Lampade</t>
  </si>
  <si>
    <t>CLIENTE</t>
  </si>
  <si>
    <t>COMMESSA                    N°</t>
  </si>
  <si>
    <t>RESINEX</t>
  </si>
  <si>
    <t>1° Articolo</t>
  </si>
  <si>
    <t>2° Articolo</t>
  </si>
  <si>
    <t>3° Articolo</t>
  </si>
  <si>
    <t>4° Articolo</t>
  </si>
  <si>
    <t>5° Articolo</t>
  </si>
  <si>
    <t>6° Articolo</t>
  </si>
  <si>
    <t>Mod. 119-GC2  Rev.0 del 25-03-26</t>
  </si>
  <si>
    <t>Alimentatore  220VAC/ 12VCC  1A</t>
  </si>
  <si>
    <t>Batteria</t>
  </si>
  <si>
    <t>Pannello Solare</t>
  </si>
  <si>
    <t>VENDITA</t>
  </si>
  <si>
    <t>RIPARAZIONE</t>
  </si>
  <si>
    <t xml:space="preserve">                                                SPEDIRE ENTRO IL </t>
  </si>
  <si>
    <t>SI</t>
  </si>
  <si>
    <t>NO</t>
  </si>
  <si>
    <t/>
  </si>
  <si>
    <t xml:space="preserve">                                  DESTINAZIONE MERCE</t>
  </si>
  <si>
    <t xml:space="preserve"> </t>
  </si>
  <si>
    <t xml:space="preserve">  comm.</t>
  </si>
  <si>
    <t xml:space="preserve">allegato 1          </t>
  </si>
  <si>
    <t>Segue allegato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</si>
</sst>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23">
    <font>
      <sz val="10"/>
      <color rgb="FF000000"/>
      <name val="Times New Roman"/>
      <charset val="204"/>
    </font>
    <font>
      <sz val="12.5"/>
      <name val="Arial MT"/>
    </font>
    <font>
      <sz val="12.5"/>
      <color rgb="FF000000"/>
      <name val="Arial MT"/>
      <family val="2"/>
    </font>
    <font>
      <sz val="13"/>
      <name val="Arial MT"/>
    </font>
    <font>
      <sz val="16.5"/>
      <name val="Trebuchet MS"/>
      <family val="2"/>
    </font>
    <font>
      <sz val="14.5"/>
      <name val="Trebuchet MS"/>
      <family val="2"/>
    </font>
    <font>
      <sz val="12.5"/>
      <name val="Arial MT"/>
      <family val="2"/>
    </font>
    <font>
      <b/>
      <sz val="11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6"/>
      <name val="Arial MT"/>
    </font>
    <font>
      <sz val="10"/>
      <color rgb="FF000000"/>
      <name val="Times New Roman"/>
      <family val="1"/>
    </font>
    <font>
      <b/>
      <sz val="13"/>
      <name val="Arial MT"/>
    </font>
    <font>
      <sz val="10"/>
      <color theme="0"/>
      <name val="Times New Roman"/>
      <family val="1"/>
    </font>
    <font>
      <sz val="14"/>
      <color rgb="FF000000"/>
      <name val="Times New Roman"/>
      <family val="1"/>
    </font>
    <font>
      <b/>
      <sz val="12"/>
      <name val="Arial MT"/>
    </font>
    <font>
      <sz val="12"/>
      <color rgb="FF000000"/>
      <name val="Arial MT"/>
    </font>
    <font>
      <sz val="12"/>
      <name val="Arial MT"/>
    </font>
    <font>
      <b/>
      <sz val="14"/>
      <name val="Arial MT"/>
    </font>
    <font>
      <sz val="9"/>
      <color rgb="FF000000"/>
      <name val="Times New Roman"/>
      <family val="1"/>
    </font>
    <font>
      <sz val="10"/>
      <color rgb="FFFF0000"/>
      <name val="Times New Roman"/>
      <family val="1"/>
    </font>
    <font>
      <sz val="14"/>
      <color rgb="FFFF0000"/>
      <name val="Times New Roman"/>
      <family val="1"/>
    </font>
    <font>
      <sz val="11"/>
      <color rgb="FF000000"/>
      <name val="Times New Roman"/>
      <family val="1"/>
    </font>
    <font>
      <sz val="12"/>
      <name val="Arial MT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left" vertical="top"/>
    </xf>
    <xf numFmtId="1" fontId="2" fillId="0" borderId="8" xfId="0" applyNumberFormat="1" applyFont="1" applyBorder="1" applyAlignment="1" applyProtection="1">
      <alignment horizontal="center" shrinkToFit="1"/>
      <protection locked="0"/>
    </xf>
    <xf numFmtId="0" fontId="9" fillId="0" borderId="7" xfId="0" applyFont="1" applyBorder="1" applyAlignment="1" applyProtection="1">
      <alignment horizontal="center" wrapText="1"/>
      <protection locked="0"/>
    </xf>
    <xf numFmtId="0" fontId="5" fillId="2" borderId="0" xfId="0" applyFont="1" applyFill="1" applyAlignment="1" applyProtection="1">
      <alignment wrapText="1"/>
      <protection locked="0"/>
    </xf>
    <xf numFmtId="16" fontId="6" fillId="0" borderId="8" xfId="0" applyNumberFormat="1" applyFont="1" applyBorder="1" applyAlignment="1" applyProtection="1">
      <alignment horizontal="center" wrapText="1"/>
      <protection locked="0"/>
    </xf>
    <xf numFmtId="0" fontId="3" fillId="0" borderId="8" xfId="0" applyFont="1" applyBorder="1" applyAlignment="1" applyProtection="1">
      <alignment horizontal="center" wrapText="1"/>
      <protection locked="0"/>
    </xf>
    <xf numFmtId="0" fontId="1" fillId="0" borderId="8" xfId="0" applyFont="1" applyBorder="1" applyAlignment="1" applyProtection="1">
      <alignment horizontal="center" wrapText="1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11" fillId="2" borderId="0" xfId="0" applyFont="1" applyFill="1" applyAlignment="1">
      <alignment horizontal="left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3" borderId="0" xfId="0" applyFill="1" applyAlignment="1">
      <alignment vertical="top"/>
    </xf>
    <xf numFmtId="0" fontId="11" fillId="0" borderId="14" xfId="0" applyFont="1" applyBorder="1" applyAlignment="1">
      <alignment vertical="top" wrapText="1"/>
    </xf>
    <xf numFmtId="0" fontId="0" fillId="2" borderId="0" xfId="0" applyFill="1" applyAlignment="1" applyProtection="1">
      <alignment horizontal="left" vertical="top"/>
      <protection locked="0"/>
    </xf>
    <xf numFmtId="0" fontId="12" fillId="2" borderId="0" xfId="0" applyFont="1" applyFill="1" applyAlignment="1" applyProtection="1">
      <alignment horizontal="left" vertical="top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3" borderId="0" xfId="0" applyFill="1" applyAlignment="1" applyProtection="1">
      <alignment horizontal="left" vertical="top"/>
      <protection locked="0"/>
    </xf>
    <xf numFmtId="0" fontId="14" fillId="0" borderId="14" xfId="0" applyFont="1" applyBorder="1" applyAlignment="1" applyProtection="1">
      <alignment vertical="top" wrapText="1"/>
      <protection locked="0"/>
    </xf>
    <xf numFmtId="0" fontId="0" fillId="2" borderId="0" xfId="0" applyFill="1" applyAlignment="1">
      <alignment horizontal="left"/>
    </xf>
    <xf numFmtId="0" fontId="12" fillId="2" borderId="0" xfId="0" applyFont="1" applyFill="1" applyAlignment="1">
      <alignment horizontal="left"/>
    </xf>
    <xf numFmtId="0" fontId="11" fillId="0" borderId="2" xfId="0" applyFont="1" applyBorder="1" applyAlignment="1" applyProtection="1">
      <alignment vertical="center" wrapText="1"/>
      <protection locked="0"/>
    </xf>
    <xf numFmtId="0" fontId="0" fillId="2" borderId="0" xfId="0" applyFill="1" applyAlignment="1">
      <alignment vertical="top"/>
    </xf>
    <xf numFmtId="0" fontId="5" fillId="0" borderId="9" xfId="0" applyFont="1" applyBorder="1" applyAlignment="1" applyProtection="1">
      <alignment horizontal="center" wrapText="1"/>
      <protection locked="0"/>
    </xf>
    <xf numFmtId="0" fontId="4" fillId="0" borderId="17" xfId="0" applyFont="1" applyBorder="1" applyAlignment="1" applyProtection="1">
      <alignment horizontal="center" wrapText="1"/>
      <protection locked="0"/>
    </xf>
    <xf numFmtId="0" fontId="11" fillId="0" borderId="21" xfId="0" applyFont="1" applyBorder="1" applyAlignment="1">
      <alignment vertical="center" wrapText="1"/>
    </xf>
    <xf numFmtId="0" fontId="11" fillId="0" borderId="21" xfId="0" applyFont="1" applyBorder="1" applyAlignment="1" applyProtection="1">
      <alignment horizontal="center" vertical="center" wrapText="1"/>
      <protection locked="0"/>
    </xf>
    <xf numFmtId="0" fontId="14" fillId="0" borderId="14" xfId="0" applyFont="1" applyBorder="1" applyAlignment="1">
      <alignment wrapText="1"/>
    </xf>
    <xf numFmtId="1" fontId="15" fillId="0" borderId="8" xfId="0" applyNumberFormat="1" applyFont="1" applyBorder="1" applyAlignment="1" applyProtection="1">
      <alignment horizontal="center" shrinkToFit="1"/>
      <protection locked="0"/>
    </xf>
    <xf numFmtId="16" fontId="16" fillId="0" borderId="8" xfId="0" applyNumberFormat="1" applyFont="1" applyBorder="1" applyAlignment="1" applyProtection="1">
      <alignment horizontal="center" wrapText="1"/>
      <protection locked="0"/>
    </xf>
    <xf numFmtId="0" fontId="16" fillId="0" borderId="8" xfId="0" applyFont="1" applyBorder="1" applyAlignment="1" applyProtection="1">
      <alignment horizontal="center" wrapText="1"/>
      <protection locked="0"/>
    </xf>
    <xf numFmtId="0" fontId="17" fillId="0" borderId="7" xfId="0" applyFont="1" applyBorder="1" applyAlignment="1" applyProtection="1">
      <alignment horizontal="center" wrapText="1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right" vertical="top"/>
      <protection locked="0"/>
    </xf>
    <xf numFmtId="0" fontId="19" fillId="2" borderId="0" xfId="0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2" borderId="0" xfId="0" applyFont="1" applyFill="1" applyAlignment="1">
      <alignment horizontal="left"/>
    </xf>
    <xf numFmtId="0" fontId="19" fillId="3" borderId="0" xfId="0" applyFont="1" applyFill="1" applyAlignment="1">
      <alignment horizontal="left" vertical="top"/>
    </xf>
    <xf numFmtId="0" fontId="21" fillId="0" borderId="0" xfId="0" applyFont="1" applyAlignment="1" applyProtection="1">
      <alignment horizontal="left" vertical="top"/>
      <protection locked="0"/>
    </xf>
    <xf numFmtId="0" fontId="18" fillId="0" borderId="9" xfId="0" applyFont="1" applyBorder="1" applyAlignment="1" applyProtection="1">
      <alignment horizontal="center" vertical="center" wrapText="1"/>
      <protection locked="0"/>
    </xf>
    <xf numFmtId="0" fontId="1" fillId="0" borderId="13" xfId="0" applyFont="1" applyBorder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22" fillId="0" borderId="16" xfId="0" applyFont="1" applyBorder="1" applyAlignment="1">
      <alignment horizontal="left" wrapText="1"/>
    </xf>
    <xf numFmtId="0" fontId="22" fillId="0" borderId="15" xfId="0" applyFont="1" applyBorder="1" applyAlignment="1">
      <alignment horizontal="left" wrapText="1"/>
    </xf>
    <xf numFmtId="0" fontId="20" fillId="2" borderId="0" xfId="0" applyFont="1" applyFill="1" applyAlignment="1">
      <alignment horizontal="center" vertical="center" wrapText="1"/>
    </xf>
    <xf numFmtId="0" fontId="5" fillId="2" borderId="17" xfId="0" applyFont="1" applyFill="1" applyBorder="1" applyAlignment="1" applyProtection="1">
      <alignment horizontal="center" vertical="center" wrapText="1"/>
      <protection locked="0"/>
    </xf>
    <xf numFmtId="0" fontId="5" fillId="2" borderId="8" xfId="0" applyFont="1" applyFill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wrapText="1"/>
    </xf>
    <xf numFmtId="0" fontId="11" fillId="0" borderId="15" xfId="0" applyFont="1" applyBorder="1" applyAlignment="1">
      <alignment horizontal="center" wrapText="1"/>
    </xf>
    <xf numFmtId="0" fontId="3" fillId="0" borderId="13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0" fillId="2" borderId="0" xfId="0" applyFill="1" applyAlignment="1">
      <alignment horizontal="center" vertical="top"/>
    </xf>
    <xf numFmtId="0" fontId="11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5" fillId="2" borderId="19" xfId="0" applyFont="1" applyFill="1" applyBorder="1" applyAlignment="1" applyProtection="1">
      <alignment horizontal="center" vertical="center" wrapText="1"/>
      <protection locked="0"/>
    </xf>
    <xf numFmtId="0" fontId="5" fillId="2" borderId="18" xfId="0" applyFont="1" applyFill="1" applyBorder="1" applyAlignment="1" applyProtection="1">
      <alignment horizontal="center" vertical="center" wrapText="1"/>
      <protection locked="0"/>
    </xf>
    <xf numFmtId="0" fontId="5" fillId="2" borderId="20" xfId="0" applyFont="1" applyFill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>
      <alignment horizontal="left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101571</xdr:colOff>
      <xdr:row>0</xdr:row>
      <xdr:rowOff>95250</xdr:rowOff>
    </xdr:from>
    <xdr:to>
      <xdr:col>2</xdr:col>
      <xdr:colOff>638039</xdr:colOff>
      <xdr:row>2</xdr:row>
      <xdr:rowOff>476249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DC5F422-7673-53E1-2D9B-2098D187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396" y="95250"/>
          <a:ext cx="2241443" cy="7048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89793</xdr:colOff>
      <xdr:row>0</xdr:row>
      <xdr:rowOff>50896</xdr:rowOff>
    </xdr:from>
    <xdr:to>
      <xdr:col>2</xdr:col>
      <xdr:colOff>444525</xdr:colOff>
      <xdr:row>1</xdr:row>
      <xdr:rowOff>145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8E6B9C9-CBEE-4F94-9407-846F3CBA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575" y="101793"/>
          <a:ext cx="2056145" cy="719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2FDC-54A7-42E6-B779-2F7DD33D30E3}">
  <sheetPr codeName="Foglio2"/>
  <dimension ref="B3:H19"/>
  <sheetViews>
    <sheetView workbookViewId="0">
      <selection activeCell="I16" sqref="I16"/>
    </sheetView>
  </sheetViews>
  <sheetFormatPr defaultRowHeight="12.75"/>
  <cols>
    <col min="2" max="2" width="59.6640625" customWidth="1"/>
    <col min="4" max="4" width="9.83203125" customWidth="1"/>
  </cols>
  <sheetData>
    <row r="3" spans="2:8" ht="20.25">
      <c r="B3" s="1" t="s">
        <v>1</v>
      </c>
      <c r="D3" s="2" t="s">
        <v>14</v>
      </c>
      <c r="H3" t="s">
        <v>34</v>
      </c>
    </row>
    <row r="4" spans="2:8" ht="20.25">
      <c r="B4" s="1" t="s">
        <v>2</v>
      </c>
      <c r="D4" s="2" t="s">
        <v>15</v>
      </c>
      <c r="H4" t="s">
        <v>35</v>
      </c>
    </row>
    <row r="5" spans="2:8" ht="20.25">
      <c r="B5" s="1" t="s">
        <v>3</v>
      </c>
      <c r="D5" s="2" t="s">
        <v>16</v>
      </c>
    </row>
    <row r="6" spans="2:8" ht="20.25">
      <c r="B6" s="1" t="s">
        <v>4</v>
      </c>
      <c r="D6" s="2" t="s">
        <v>17</v>
      </c>
    </row>
    <row r="7" spans="2:8" ht="20.25">
      <c r="B7" s="1" t="s">
        <v>5</v>
      </c>
      <c r="D7" s="2" t="s">
        <v>18</v>
      </c>
    </row>
    <row r="8" spans="2:8" ht="20.25">
      <c r="B8" s="1" t="s">
        <v>6</v>
      </c>
      <c r="D8" s="2" t="s">
        <v>19</v>
      </c>
    </row>
    <row r="9" spans="2:8" ht="20.25">
      <c r="B9" s="1" t="s">
        <v>7</v>
      </c>
    </row>
    <row r="10" spans="2:8" ht="20.25">
      <c r="B10" s="1" t="s">
        <v>8</v>
      </c>
      <c r="H10" s="2" t="s">
        <v>37</v>
      </c>
    </row>
    <row r="11" spans="2:8" ht="20.25">
      <c r="B11" s="1" t="s">
        <v>9</v>
      </c>
      <c r="H11" s="2" t="s">
        <v>38</v>
      </c>
    </row>
    <row r="12" spans="2:8" ht="20.25">
      <c r="B12" s="1" t="s">
        <v>10</v>
      </c>
    </row>
    <row r="13" spans="2:8" ht="20.25">
      <c r="B13" s="1" t="s">
        <v>11</v>
      </c>
      <c r="D13" s="2" t="s">
        <v>21</v>
      </c>
    </row>
    <row r="14" spans="2:8" ht="20.25">
      <c r="B14" s="1" t="s">
        <v>12</v>
      </c>
      <c r="D14" s="2" t="s">
        <v>23</v>
      </c>
    </row>
    <row r="15" spans="2:8" ht="20.25">
      <c r="B15" s="1" t="s">
        <v>13</v>
      </c>
    </row>
    <row r="16" spans="2:8" ht="20.25">
      <c r="B16" s="1" t="s">
        <v>31</v>
      </c>
    </row>
    <row r="17" spans="2:2" ht="20.25">
      <c r="B17" s="1" t="s">
        <v>32</v>
      </c>
    </row>
    <row r="18" spans="2:2" ht="20.25">
      <c r="B18" s="1" t="s">
        <v>33</v>
      </c>
    </row>
    <row r="19" spans="2:2" ht="20.25">
      <c r="B19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E4BB-79A5-4D84-AAD0-26E3BA66DC3E}">
  <sheetPr codeName="Foglio3"/>
  <dimension ref="A1:Y66"/>
  <sheetViews>
    <sheetView showRowColHeaders="0" tabSelected="1" zoomScaleNormal="100" zoomScaleSheetLayoutView="131" workbookViewId="0">
      <selection activeCell="G6" sqref="G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8.83203125" style="3"/>
    <col min="2" max="2" width="29.83203125" customWidth="1"/>
    <col min="3" max="3" width="12.6640625" customWidth="1"/>
    <col min="4" max="4" width="53.1640625" style="28" customWidth="1"/>
    <col min="5" max="5" width="23.5" style="47" hidden="1" customWidth="1"/>
    <col min="6" max="6" width="9.33203125" style="4" customWidth="1"/>
    <col min="7" max="25" width="8.83203125" style="4"/>
  </cols>
  <sheetData>
    <row r="1" spans="1:25" s="3" customFormat="1">
      <c r="D1" s="23"/>
      <c r="E1" s="6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s="3" customFormat="1">
      <c r="B2" s="4"/>
      <c r="C2" s="4"/>
      <c r="D2" s="24"/>
      <c r="E2" s="6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41.25" customHeight="1" thickBot="1">
      <c r="B3" s="5"/>
      <c r="C3" s="5"/>
      <c r="D3" s="24"/>
      <c r="E3" s="65"/>
    </row>
    <row r="4" spans="1:25" ht="27" customHeight="1">
      <c r="B4" s="59" t="s">
        <v>21</v>
      </c>
      <c r="C4" s="60"/>
      <c r="D4" s="36"/>
      <c r="E4" s="46"/>
    </row>
    <row r="5" spans="1:25" ht="27" customHeight="1" thickBot="1">
      <c r="B5" s="61" t="s">
        <v>22</v>
      </c>
      <c r="C5" s="62"/>
      <c r="D5" s="35"/>
      <c r="E5" s="46"/>
    </row>
    <row r="6" spans="1:25" ht="9.9499999999999993" customHeight="1" thickBot="1">
      <c r="B6" s="18"/>
      <c r="C6" s="18"/>
      <c r="D6" s="12"/>
    </row>
    <row r="7" spans="1:25" s="3" customFormat="1" ht="20.45" customHeight="1">
      <c r="B7" s="66" t="s">
        <v>24</v>
      </c>
      <c r="C7" s="67"/>
      <c r="D7" s="57"/>
      <c r="E7" s="5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s="3" customFormat="1" ht="6" customHeight="1">
      <c r="B8" s="68"/>
      <c r="C8" s="69"/>
      <c r="D8" s="58"/>
      <c r="E8" s="5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21" customHeight="1">
      <c r="B9" s="68"/>
      <c r="C9" s="69"/>
      <c r="D9" s="58"/>
      <c r="E9" s="56"/>
    </row>
    <row r="10" spans="1:25" s="6" customFormat="1" ht="28.15" customHeight="1">
      <c r="A10" s="31"/>
      <c r="B10" s="63" t="s">
        <v>0</v>
      </c>
      <c r="C10" s="64"/>
      <c r="D10" s="43"/>
      <c r="E10" s="48" t="str">
        <f>MID(D10,1,6)</f>
        <v/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s="6" customFormat="1" ht="21" customHeight="1">
      <c r="A11" s="31"/>
      <c r="B11" s="52" t="str">
        <f>IF(D10=""," ","Q.ta")</f>
        <v xml:space="preserve"> </v>
      </c>
      <c r="C11" s="53"/>
      <c r="D11" s="40"/>
      <c r="E11" s="4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s="6" customFormat="1" ht="21" customHeight="1">
      <c r="A12" s="31"/>
      <c r="B12" s="52" t="str">
        <f>IF(E10="INTERN","Caratteristica di lampeggio",IF(E10="FANALI","Caratteristica di lampeggio",""))</f>
        <v/>
      </c>
      <c r="C12" s="53"/>
      <c r="D12" s="41"/>
      <c r="E12" s="48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6" customFormat="1" ht="21" customHeight="1">
      <c r="A13" s="31"/>
      <c r="B13" s="52" t="str">
        <f>IF(E10="INTERN","Portata                          MN",IF(E10="FANALI","Portata                          MN",""))</f>
        <v/>
      </c>
      <c r="C13" s="53"/>
      <c r="D13" s="42"/>
      <c r="E13" s="4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s="6" customFormat="1" ht="21" customHeight="1">
      <c r="A14" s="31"/>
      <c r="B14" s="52" t="str">
        <f>IF(E10="INTERN","Colore della luce",IF(E10="FANALI","Colore della luce",""))</f>
        <v/>
      </c>
      <c r="C14" s="53"/>
      <c r="D14" s="42"/>
      <c r="E14" s="48" t="s">
        <v>41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s="6" customFormat="1" ht="21" customHeight="1">
      <c r="A15" s="31"/>
      <c r="B15" s="52" t="str">
        <f>IF(E10="INTERN","Sincronismo GPS",IF(E10="FANALI","Sincronismo GPS",""))</f>
        <v/>
      </c>
      <c r="C15" s="53"/>
      <c r="D15" s="42"/>
      <c r="E15" s="48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s="6" customFormat="1" ht="21" customHeight="1" thickBot="1">
      <c r="A16" s="31"/>
      <c r="B16" s="54" t="str">
        <f>IF(D10=""," ","NOTE / SPECIFICHE TECNICHE")</f>
        <v xml:space="preserve"> </v>
      </c>
      <c r="C16" s="55"/>
      <c r="D16" s="44"/>
      <c r="E16" s="48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8.1" customHeight="1">
      <c r="B17" s="7"/>
      <c r="C17" s="7"/>
      <c r="D17" s="25"/>
      <c r="E17" s="46"/>
    </row>
    <row r="18" spans="1:25" ht="1.1499999999999999" customHeight="1">
      <c r="B18" s="19"/>
      <c r="C18" s="19"/>
      <c r="D18" s="26"/>
      <c r="E18" s="46"/>
    </row>
    <row r="19" spans="1:25" ht="1.1499999999999999" customHeight="1" thickBot="1">
      <c r="B19" s="19"/>
      <c r="C19" s="8"/>
      <c r="D19" s="26"/>
    </row>
    <row r="20" spans="1:25" s="3" customFormat="1" ht="20.45" customHeight="1">
      <c r="B20" s="66" t="s">
        <v>25</v>
      </c>
      <c r="C20" s="67"/>
      <c r="D20" s="57"/>
      <c r="E20" s="5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s="3" customFormat="1" ht="6" customHeight="1">
      <c r="B21" s="68"/>
      <c r="C21" s="69"/>
      <c r="D21" s="58"/>
      <c r="E21" s="5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21" customHeight="1">
      <c r="B22" s="68"/>
      <c r="C22" s="69"/>
      <c r="D22" s="58"/>
      <c r="E22" s="56"/>
    </row>
    <row r="23" spans="1:25" s="6" customFormat="1" ht="28.15" customHeight="1">
      <c r="A23" s="31"/>
      <c r="B23" s="63" t="s">
        <v>0</v>
      </c>
      <c r="C23" s="64"/>
      <c r="D23" s="43"/>
      <c r="E23" s="48" t="str">
        <f>MID(D23,1,6)</f>
        <v/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s="6" customFormat="1" ht="21" customHeight="1">
      <c r="A24" s="31"/>
      <c r="B24" s="52" t="str">
        <f>IF(D23=""," ","Q.ta")</f>
        <v xml:space="preserve"> </v>
      </c>
      <c r="C24" s="53"/>
      <c r="D24" s="40"/>
      <c r="E24" s="48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s="6" customFormat="1" ht="21" customHeight="1">
      <c r="A25" s="31"/>
      <c r="B25" s="52" t="str">
        <f>IF(E23="INTERN","Caratteristica di lampeggio",IF(E23="FANALI","Caratteristica di lampeggio",""))</f>
        <v/>
      </c>
      <c r="C25" s="53"/>
      <c r="D25" s="41"/>
      <c r="E25" s="4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s="6" customFormat="1" ht="21" customHeight="1">
      <c r="A26" s="31"/>
      <c r="B26" s="52" t="str">
        <f>IF(E23="INTERN","Portata                          MN",IF(E23="FANALI","Portata                          MN",""))</f>
        <v/>
      </c>
      <c r="C26" s="53"/>
      <c r="D26" s="42"/>
      <c r="E26" s="48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s="6" customFormat="1" ht="21" customHeight="1">
      <c r="A27" s="31"/>
      <c r="B27" s="52" t="str">
        <f>IF(E23="INTERN","Colore della luce",IF(E23="FANALI","Colore della luce",""))</f>
        <v/>
      </c>
      <c r="C27" s="53"/>
      <c r="D27" s="42"/>
      <c r="E27" s="48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s="6" customFormat="1" ht="21" customHeight="1">
      <c r="A28" s="31"/>
      <c r="B28" s="52" t="str">
        <f>IF(E23="INTERN","Sincronismo GPS",IF(E23="FANALI","Sincronismo GPS",""))</f>
        <v/>
      </c>
      <c r="C28" s="53"/>
      <c r="D28" s="42"/>
      <c r="E28" s="48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6" customFormat="1" ht="21" customHeight="1" thickBot="1">
      <c r="A29" s="31"/>
      <c r="B29" s="54" t="str">
        <f>IF(D23=""," ","NOTE / SPECIFICHE TECNICHE")</f>
        <v xml:space="preserve"> </v>
      </c>
      <c r="C29" s="55"/>
      <c r="D29" s="44"/>
      <c r="E29" s="48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</row>
    <row r="30" spans="1:25" ht="8.1" customHeight="1" thickBot="1">
      <c r="B30" s="7"/>
      <c r="C30" s="7"/>
      <c r="D30" s="25"/>
    </row>
    <row r="31" spans="1:25" s="3" customFormat="1" ht="20.45" customHeight="1">
      <c r="B31" s="66" t="s">
        <v>26</v>
      </c>
      <c r="C31" s="67"/>
      <c r="D31" s="57"/>
      <c r="E31" s="5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3" customFormat="1" ht="6" customHeight="1">
      <c r="B32" s="68"/>
      <c r="C32" s="69"/>
      <c r="D32" s="58"/>
      <c r="E32" s="5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1" customHeight="1">
      <c r="B33" s="68"/>
      <c r="C33" s="69"/>
      <c r="D33" s="58"/>
      <c r="E33" s="56"/>
    </row>
    <row r="34" spans="1:25" s="6" customFormat="1" ht="28.15" customHeight="1">
      <c r="A34" s="31"/>
      <c r="B34" s="63" t="s">
        <v>0</v>
      </c>
      <c r="C34" s="64"/>
      <c r="D34" s="43"/>
      <c r="E34" s="48" t="str">
        <f>MID(D34,1,6)</f>
        <v/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s="6" customFormat="1" ht="21" customHeight="1">
      <c r="A35" s="31"/>
      <c r="B35" s="52" t="str">
        <f>IF(D34=""," ","Q.ta")</f>
        <v xml:space="preserve"> </v>
      </c>
      <c r="C35" s="53"/>
      <c r="D35" s="40"/>
      <c r="E35" s="4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s="6" customFormat="1" ht="21" customHeight="1">
      <c r="A36" s="31"/>
      <c r="B36" s="52" t="str">
        <f>IF(E34="INTERN","Caratteristica di lampeggio",IF(E34="FANALI","Caratteristica di lampeggio",""))</f>
        <v/>
      </c>
      <c r="C36" s="53"/>
      <c r="D36" s="41"/>
      <c r="E36" s="48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s="6" customFormat="1" ht="21" customHeight="1">
      <c r="A37" s="31"/>
      <c r="B37" s="52" t="str">
        <f>IF(E34="INTERN","Portata                          MN",IF(E34="FANALI","Portata                          MN",""))</f>
        <v/>
      </c>
      <c r="C37" s="53"/>
      <c r="D37" s="42"/>
      <c r="E37" s="48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s="6" customFormat="1" ht="21" customHeight="1">
      <c r="A38" s="31"/>
      <c r="B38" s="52" t="str">
        <f>IF(E34="INTERN","Colore della luce",IF(E34="FANALI","Colore della luce",""))</f>
        <v/>
      </c>
      <c r="C38" s="53"/>
      <c r="D38" s="42"/>
      <c r="E38" s="48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s="6" customFormat="1" ht="21" customHeight="1">
      <c r="A39" s="31"/>
      <c r="B39" s="52" t="str">
        <f>IF(E34="INTERN","Sincronismo GPS",IF(E34="FANALI","Sincronismo GPS",""))</f>
        <v/>
      </c>
      <c r="C39" s="53"/>
      <c r="D39" s="42"/>
      <c r="E39" s="48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</row>
    <row r="40" spans="1:25" s="6" customFormat="1" ht="21" customHeight="1" thickBot="1">
      <c r="A40" s="31"/>
      <c r="B40" s="54" t="str">
        <f>IF(D34=""," ","NOTE / SPECIFICHE TECNICHE")</f>
        <v xml:space="preserve"> </v>
      </c>
      <c r="C40" s="55"/>
      <c r="D40" s="44"/>
      <c r="E40" s="48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</row>
    <row r="41" spans="1:25" ht="10.15" customHeight="1" thickBot="1">
      <c r="B41" s="7"/>
      <c r="C41" s="7"/>
      <c r="D41" s="25"/>
      <c r="E41" s="46"/>
    </row>
    <row r="42" spans="1:25" ht="15" thickBot="1">
      <c r="B42" s="70" t="s">
        <v>36</v>
      </c>
      <c r="C42" s="71"/>
      <c r="D42" s="16"/>
      <c r="E42" s="46"/>
    </row>
    <row r="43" spans="1:25" ht="8.1" customHeight="1" thickBot="1">
      <c r="B43" s="20"/>
      <c r="D43" s="27"/>
      <c r="E43" s="46"/>
    </row>
    <row r="44" spans="1:25" ht="13.5" thickBot="1">
      <c r="B44" s="70" t="s">
        <v>40</v>
      </c>
      <c r="C44" s="71"/>
      <c r="D44" s="17"/>
      <c r="E44" s="46"/>
    </row>
    <row r="45" spans="1:25" ht="8.1" customHeight="1">
      <c r="B45" s="20"/>
      <c r="C45" s="20" t="s">
        <v>39</v>
      </c>
      <c r="E45" s="46"/>
    </row>
    <row r="46" spans="1:25" ht="18" customHeight="1">
      <c r="B46" s="20" t="s">
        <v>30</v>
      </c>
      <c r="C46" s="20"/>
      <c r="D46" s="50" t="str">
        <f>IFERROR(IF('Pagina 2 ( allegato)'!F8=1,E46,""),"")</f>
        <v/>
      </c>
      <c r="E46" s="46" t="s">
        <v>44</v>
      </c>
    </row>
    <row r="47" spans="1:25" s="9" customFormat="1" ht="4.1500000000000004" customHeight="1">
      <c r="A47" s="3"/>
      <c r="B47" s="21"/>
      <c r="C47" s="21"/>
      <c r="D47" s="29"/>
      <c r="E47" s="4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3" customFormat="1">
      <c r="B48" s="34"/>
      <c r="C48" s="34"/>
      <c r="D48" s="23"/>
      <c r="E48" s="4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4:25" s="3" customFormat="1">
      <c r="D49" s="23"/>
      <c r="E49" s="4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4:25" s="3" customFormat="1">
      <c r="D50" s="23"/>
      <c r="E50" s="4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4:25" s="3" customFormat="1">
      <c r="D51" s="23"/>
      <c r="E51" s="4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4:25" s="3" customFormat="1">
      <c r="D52" s="23"/>
      <c r="E52" s="4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4:25" s="3" customFormat="1">
      <c r="D53" s="23"/>
      <c r="E53" s="4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4:25" s="3" customFormat="1">
      <c r="D54" s="23"/>
      <c r="E54" s="4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4:25" s="3" customFormat="1">
      <c r="D55" s="23"/>
      <c r="E55" s="4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4:25" s="3" customFormat="1">
      <c r="D56" s="23"/>
      <c r="E56" s="4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4:25" s="3" customFormat="1">
      <c r="D57" s="23"/>
      <c r="E57" s="4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4:25" s="3" customFormat="1">
      <c r="D58" s="23"/>
      <c r="E58" s="4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4:25" s="3" customFormat="1">
      <c r="D59" s="23"/>
      <c r="E59" s="4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4:25" s="3" customFormat="1">
      <c r="D60" s="23"/>
      <c r="E60" s="4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4:25" s="3" customFormat="1">
      <c r="D61" s="23"/>
      <c r="E61" s="4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4:25" s="3" customFormat="1">
      <c r="D62" s="23"/>
      <c r="E62" s="4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4:25" s="3" customFormat="1">
      <c r="D63" s="23"/>
      <c r="E63" s="4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4:25">
      <c r="E64" s="46"/>
    </row>
    <row r="65" spans="5:5">
      <c r="E65" s="46"/>
    </row>
    <row r="66" spans="5:5">
      <c r="E66" s="46"/>
    </row>
  </sheetData>
  <sheetProtection formatCells="0" formatColumns="0" formatRows="0"/>
  <mergeCells count="35">
    <mergeCell ref="B44:C44"/>
    <mergeCell ref="B39:C39"/>
    <mergeCell ref="B40:C40"/>
    <mergeCell ref="B35:C35"/>
    <mergeCell ref="E7:E9"/>
    <mergeCell ref="D7:D9"/>
    <mergeCell ref="E1:E3"/>
    <mergeCell ref="B7:C9"/>
    <mergeCell ref="B20:C22"/>
    <mergeCell ref="B31:C33"/>
    <mergeCell ref="B42:C42"/>
    <mergeCell ref="B38:C38"/>
    <mergeCell ref="B15:C15"/>
    <mergeCell ref="B16:C16"/>
    <mergeCell ref="B34:C34"/>
    <mergeCell ref="B28:C28"/>
    <mergeCell ref="B27:C27"/>
    <mergeCell ref="B25:C25"/>
    <mergeCell ref="B24:C24"/>
    <mergeCell ref="B23:C23"/>
    <mergeCell ref="B36:C36"/>
    <mergeCell ref="E31:E33"/>
    <mergeCell ref="D31:D33"/>
    <mergeCell ref="B37:C37"/>
    <mergeCell ref="B4:C4"/>
    <mergeCell ref="B5:C5"/>
    <mergeCell ref="B10:C10"/>
    <mergeCell ref="B11:C11"/>
    <mergeCell ref="D20:D22"/>
    <mergeCell ref="E20:E22"/>
    <mergeCell ref="B12:C12"/>
    <mergeCell ref="B13:C13"/>
    <mergeCell ref="B14:C14"/>
    <mergeCell ref="B26:C26"/>
    <mergeCell ref="B29:C29"/>
  </mergeCells>
  <pageMargins left="0.70866141732283472" right="0.70866141732283472" top="0" bottom="0" header="0" footer="0"/>
  <pageSetup paperSize="9" orientation="portrait" horizontalDpi="4294967293" r:id="rId1"/>
  <headerFooter>
    <oddFooter>&amp;RDATA EMISSIONE 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4449FE9-480F-43B1-8A11-49F62C684517}">
          <x14:formula1>
            <xm:f>Foglio1!$D$13:$D$14</xm:f>
          </x14:formula1>
          <xm:sqref>D44</xm:sqref>
        </x14:dataValidation>
        <x14:dataValidation type="list" allowBlank="1" showInputMessage="1" showErrorMessage="1" xr:uid="{E06DD0F8-04C1-49FB-9AAA-82B11CC22EB9}">
          <x14:formula1>
            <xm:f>Foglio1!$H$3:$H$4</xm:f>
          </x14:formula1>
          <xm:sqref>D7:D9 D20:D22 D31:D33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9B5A-F1BC-4DB7-A5A2-2B37ED95F473}">
  <dimension ref="A1:Y67"/>
  <sheetViews>
    <sheetView showGridLines="0" showRowColHeaders="0" zoomScaleNormal="100" zoomScaleSheetLayoutView="131" workbookViewId="0">
      <selection activeCell="H3" sqref="H3"/>
    </sheetView>
  </sheetViews>
  <sheetFormatPr defaultRowHeight="12.75"/>
  <cols>
    <col min="1" max="1" width="9.33203125" style="3"/>
    <col min="2" max="2" width="29.83203125" customWidth="1"/>
    <col min="3" max="3" width="12.6640625" customWidth="1"/>
    <col min="4" max="4" width="53.1640625" style="28" customWidth="1"/>
    <col min="5" max="5" width="23.5" style="47" hidden="1" customWidth="1"/>
    <col min="6" max="6" width="9.33203125" style="4" hidden="1" customWidth="1"/>
    <col min="7" max="25" width="9.33203125" style="4"/>
  </cols>
  <sheetData>
    <row r="1" spans="1:25" s="9" customFormat="1" ht="61.15" customHeight="1">
      <c r="A1" s="3"/>
      <c r="B1" s="20"/>
      <c r="C1" s="20"/>
      <c r="D1" s="45" t="s">
        <v>43</v>
      </c>
      <c r="E1" s="4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>
      <c r="B2" s="22" t="s">
        <v>42</v>
      </c>
      <c r="C2" s="39">
        <f>Modulo!D5</f>
        <v>0</v>
      </c>
      <c r="D2" s="30"/>
      <c r="E2" s="46"/>
    </row>
    <row r="3" spans="1:25" ht="27" customHeight="1">
      <c r="B3" s="75">
        <f>Modulo!D4</f>
        <v>0</v>
      </c>
      <c r="C3" s="75"/>
      <c r="D3" s="33"/>
      <c r="E3" s="46"/>
    </row>
    <row r="4" spans="1:25" ht="27" customHeight="1" thickBot="1">
      <c r="B4" s="37"/>
      <c r="C4" s="37"/>
      <c r="D4" s="38"/>
      <c r="E4" s="46"/>
    </row>
    <row r="5" spans="1:25" s="3" customFormat="1" ht="20.45" customHeight="1">
      <c r="B5" s="66" t="s">
        <v>27</v>
      </c>
      <c r="C5" s="67"/>
      <c r="D5" s="57"/>
      <c r="E5" s="5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3" customFormat="1" ht="6" customHeight="1">
      <c r="B6" s="68"/>
      <c r="C6" s="69"/>
      <c r="D6" s="58"/>
      <c r="E6" s="5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21" customHeight="1">
      <c r="B7" s="68"/>
      <c r="C7" s="69"/>
      <c r="D7" s="58"/>
      <c r="E7" s="56"/>
    </row>
    <row r="8" spans="1:25" s="6" customFormat="1" ht="28.15" customHeight="1">
      <c r="A8" s="31"/>
      <c r="B8" s="63" t="s">
        <v>0</v>
      </c>
      <c r="C8" s="64"/>
      <c r="D8" s="11"/>
      <c r="E8" s="48" t="str">
        <f>MID(D8,1,6)</f>
        <v/>
      </c>
      <c r="F8" s="48">
        <f>IF(D8="",0,1)</f>
        <v>0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s="6" customFormat="1" ht="21" customHeight="1">
      <c r="A9" s="31"/>
      <c r="B9" s="52" t="str">
        <f>IF(D8=""," ","Q.ta")</f>
        <v xml:space="preserve"> </v>
      </c>
      <c r="C9" s="53"/>
      <c r="D9" s="10"/>
      <c r="E9" s="48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s="6" customFormat="1" ht="21" customHeight="1">
      <c r="A10" s="31"/>
      <c r="B10" s="52" t="str">
        <f>IF(E8="INTERN","Caratteristica di lampeggio",IF(E8="FANALI","Caratteristica di lampeggio",""))</f>
        <v/>
      </c>
      <c r="C10" s="53"/>
      <c r="D10" s="13"/>
      <c r="E10" s="48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s="6" customFormat="1" ht="21" customHeight="1">
      <c r="A11" s="31"/>
      <c r="B11" s="52" t="str">
        <f>IF(E8="INTERN","Portata                          MN",IF(E8="FANALI","Portata                          MN",""))</f>
        <v/>
      </c>
      <c r="C11" s="53"/>
      <c r="D11" s="14"/>
      <c r="E11" s="4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s="6" customFormat="1" ht="21" customHeight="1">
      <c r="A12" s="31"/>
      <c r="B12" s="52" t="str">
        <f>IF(E8="INTERN","Colore della luce",IF(E8="FANALI","Colore della luce",""))</f>
        <v/>
      </c>
      <c r="C12" s="53"/>
      <c r="D12" s="15"/>
      <c r="E12" s="48" t="s">
        <v>41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6" customFormat="1" ht="21" customHeight="1">
      <c r="A13" s="31"/>
      <c r="B13" s="52" t="str">
        <f>IF(E8="INTERN","Sincronismo GPS",IF(E8="FANALI","Sincronismo GPS",""))</f>
        <v/>
      </c>
      <c r="C13" s="53"/>
      <c r="D13" s="15"/>
      <c r="E13" s="48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s="6" customFormat="1" ht="21" customHeight="1" thickBot="1">
      <c r="A14" s="31"/>
      <c r="B14" s="54" t="str">
        <f>IF(D8=""," ","NOTE / SPECIFICHE TECNICHE")</f>
        <v xml:space="preserve"> </v>
      </c>
      <c r="C14" s="55"/>
      <c r="D14" s="51"/>
      <c r="E14" s="48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ht="10.15" customHeight="1">
      <c r="B15" s="7"/>
      <c r="C15" s="7"/>
      <c r="D15" s="25"/>
      <c r="E15" s="46"/>
    </row>
    <row r="16" spans="1:25" ht="1.1499999999999999" customHeight="1">
      <c r="B16" s="19"/>
      <c r="C16" s="19"/>
      <c r="D16" s="26"/>
      <c r="E16" s="46"/>
    </row>
    <row r="17" spans="1:25" ht="1.1499999999999999" customHeight="1" thickBot="1">
      <c r="B17" s="19"/>
      <c r="C17" s="8"/>
      <c r="D17" s="26"/>
    </row>
    <row r="18" spans="1:25" s="3" customFormat="1" ht="20.45" customHeight="1">
      <c r="B18" s="66" t="s">
        <v>28</v>
      </c>
      <c r="C18" s="67"/>
      <c r="D18" s="57"/>
      <c r="E18" s="5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s="3" customFormat="1" ht="6" customHeight="1">
      <c r="B19" s="68"/>
      <c r="C19" s="69"/>
      <c r="D19" s="58"/>
      <c r="E19" s="5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21" customHeight="1">
      <c r="B20" s="68"/>
      <c r="C20" s="69"/>
      <c r="D20" s="58"/>
      <c r="E20" s="56"/>
    </row>
    <row r="21" spans="1:25" s="6" customFormat="1" ht="28.15" customHeight="1">
      <c r="A21" s="31"/>
      <c r="B21" s="63" t="s">
        <v>0</v>
      </c>
      <c r="C21" s="64"/>
      <c r="D21" s="11"/>
      <c r="E21" s="48" t="str">
        <f>MID(D21,1,6)</f>
        <v/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</row>
    <row r="22" spans="1:25" s="6" customFormat="1" ht="21" customHeight="1">
      <c r="A22" s="31"/>
      <c r="B22" s="52" t="str">
        <f>IF(D21=""," ","Q.ta")</f>
        <v xml:space="preserve"> </v>
      </c>
      <c r="C22" s="53"/>
      <c r="D22" s="10"/>
      <c r="E22" s="48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</row>
    <row r="23" spans="1:25" s="6" customFormat="1" ht="21" customHeight="1">
      <c r="A23" s="31"/>
      <c r="B23" s="52" t="str">
        <f>IF(E21="INTERN","Caratteristica di lampeggio",IF(E21="FANALI","Caratteristica di lampeggio",""))</f>
        <v/>
      </c>
      <c r="C23" s="53"/>
      <c r="D23" s="13"/>
      <c r="E23" s="48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</row>
    <row r="24" spans="1:25" s="6" customFormat="1" ht="21" customHeight="1">
      <c r="A24" s="31"/>
      <c r="B24" s="52" t="str">
        <f>IF(E21="INTERN","Portata                          MN",IF(E21="FANALI","Portata                          MN",""))</f>
        <v/>
      </c>
      <c r="C24" s="53"/>
      <c r="D24" s="14"/>
      <c r="E24" s="48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</row>
    <row r="25" spans="1:25" s="6" customFormat="1" ht="21" customHeight="1">
      <c r="A25" s="31"/>
      <c r="B25" s="52" t="str">
        <f>IF(E21="INTERN","Colore della luce",IF(E21="FANALI","Colore della luce",""))</f>
        <v/>
      </c>
      <c r="C25" s="53"/>
      <c r="D25" s="15"/>
      <c r="E25" s="4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1:25" s="6" customFormat="1" ht="21" customHeight="1">
      <c r="A26" s="31"/>
      <c r="B26" s="52" t="str">
        <f>IF(E21="INTERN","Sincronismo GPS",IF(E21="FANALI","Sincronismo GPS",""))</f>
        <v/>
      </c>
      <c r="C26" s="53"/>
      <c r="D26" s="15"/>
      <c r="E26" s="48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</row>
    <row r="27" spans="1:25" s="6" customFormat="1" ht="21" customHeight="1" thickBot="1">
      <c r="A27" s="31"/>
      <c r="B27" s="54" t="str">
        <f>IF(D21=""," ","NOTE / SPECIFICHE TECNICHE")</f>
        <v xml:space="preserve"> </v>
      </c>
      <c r="C27" s="55"/>
      <c r="D27" s="51"/>
      <c r="E27" s="48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</row>
    <row r="28" spans="1:25" ht="10.15" customHeight="1" thickBot="1">
      <c r="B28" s="7"/>
      <c r="C28" s="7"/>
      <c r="D28" s="25"/>
    </row>
    <row r="29" spans="1:25" s="3" customFormat="1" ht="20.45" customHeight="1">
      <c r="B29" s="66" t="s">
        <v>29</v>
      </c>
      <c r="C29" s="67"/>
      <c r="D29" s="72"/>
      <c r="E29" s="5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s="3" customFormat="1" ht="6" customHeight="1">
      <c r="B30" s="68"/>
      <c r="C30" s="69"/>
      <c r="D30" s="73"/>
      <c r="E30" s="5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1" customHeight="1">
      <c r="B31" s="68"/>
      <c r="C31" s="69"/>
      <c r="D31" s="74"/>
      <c r="E31" s="56"/>
    </row>
    <row r="32" spans="1:25" s="6" customFormat="1" ht="28.15" customHeight="1">
      <c r="A32" s="31"/>
      <c r="B32" s="63" t="s">
        <v>0</v>
      </c>
      <c r="C32" s="64"/>
      <c r="D32" s="11"/>
      <c r="E32" s="48" t="str">
        <f>MID(D32,1,6)</f>
        <v/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s="6" customFormat="1" ht="21" customHeight="1">
      <c r="A33" s="31"/>
      <c r="B33" s="52" t="str">
        <f>IF(D32=""," ","Q.ta")</f>
        <v xml:space="preserve"> </v>
      </c>
      <c r="C33" s="53"/>
      <c r="D33" s="10"/>
      <c r="E33" s="48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</row>
    <row r="34" spans="1:25" s="6" customFormat="1" ht="21" customHeight="1">
      <c r="A34" s="31"/>
      <c r="B34" s="52" t="str">
        <f>IF(E32="INTERN","Caratteristica di lampeggio",IF(E32="FANALI","Caratteristica di lampeggio",""))</f>
        <v/>
      </c>
      <c r="C34" s="53"/>
      <c r="D34" s="13"/>
      <c r="E34" s="48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</row>
    <row r="35" spans="1:25" s="6" customFormat="1" ht="21" customHeight="1">
      <c r="A35" s="31"/>
      <c r="B35" s="52" t="str">
        <f>IF(E32="INTERN","Portata                          MN",IF(E32="FANALI","Portata                          MN",""))</f>
        <v/>
      </c>
      <c r="C35" s="53"/>
      <c r="D35" s="14"/>
      <c r="E35" s="48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</row>
    <row r="36" spans="1:25" s="6" customFormat="1" ht="21" customHeight="1">
      <c r="A36" s="31"/>
      <c r="B36" s="52" t="str">
        <f>IF(E32="INTERN","Colore della luce",IF(E32="FANALI","Colore della luce",""))</f>
        <v/>
      </c>
      <c r="C36" s="53"/>
      <c r="D36" s="15"/>
      <c r="E36" s="48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</row>
    <row r="37" spans="1:25" s="6" customFormat="1" ht="21" customHeight="1">
      <c r="A37" s="31"/>
      <c r="B37" s="52" t="str">
        <f>IF(E32="INTERN","Sincronismo GPS",IF(E32="FANALI","Sincronismo GPS",""))</f>
        <v/>
      </c>
      <c r="C37" s="53"/>
      <c r="D37" s="15"/>
      <c r="E37" s="48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</row>
    <row r="38" spans="1:25" s="6" customFormat="1" ht="21" customHeight="1" thickBot="1">
      <c r="A38" s="31"/>
      <c r="B38" s="54" t="str">
        <f>IF(D32=""," ","NOTE / SPECIFICHE TECNICHE")</f>
        <v xml:space="preserve"> </v>
      </c>
      <c r="C38" s="55"/>
      <c r="D38" s="51"/>
      <c r="E38" s="48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</row>
    <row r="39" spans="1:25" s="3" customFormat="1">
      <c r="D39" s="23"/>
      <c r="E39" s="4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s="3" customFormat="1">
      <c r="B40" s="34"/>
      <c r="D40" s="23"/>
      <c r="E40" s="4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s="3" customFormat="1">
      <c r="B41" s="34"/>
      <c r="D41" s="23"/>
      <c r="E41" s="4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s="3" customFormat="1">
      <c r="B42" s="34"/>
      <c r="D42" s="23"/>
      <c r="E42" s="4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s="3" customFormat="1">
      <c r="B43" s="34"/>
      <c r="C43" s="34"/>
      <c r="D43" s="23"/>
      <c r="E43" s="4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s="3" customFormat="1">
      <c r="B44" s="34"/>
      <c r="C44" s="34"/>
      <c r="D44" s="23"/>
      <c r="E44" s="4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s="3" customFormat="1">
      <c r="B45" s="34"/>
      <c r="C45" s="34"/>
      <c r="D45" s="23"/>
      <c r="E45" s="4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s="3" customFormat="1">
      <c r="B46" s="34"/>
      <c r="C46" s="34"/>
      <c r="D46" s="23"/>
      <c r="E46" s="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s="3" customFormat="1">
      <c r="B47" s="34"/>
      <c r="C47" s="34"/>
      <c r="D47" s="23"/>
      <c r="E47" s="4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s="3" customFormat="1">
      <c r="B48" s="34"/>
      <c r="C48" s="34"/>
      <c r="D48" s="23"/>
      <c r="E48" s="4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2:25" s="3" customFormat="1">
      <c r="B49" s="34"/>
      <c r="C49" s="34"/>
      <c r="D49" s="23"/>
      <c r="E49" s="4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2:25" s="3" customFormat="1">
      <c r="D50" s="23"/>
      <c r="E50" s="4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2:25" s="3" customFormat="1">
      <c r="D51" s="23"/>
      <c r="E51" s="4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2:25" s="3" customFormat="1">
      <c r="D52" s="23"/>
      <c r="E52" s="4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2:25" s="3" customFormat="1">
      <c r="D53" s="23"/>
      <c r="E53" s="4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2:25" s="3" customFormat="1">
      <c r="D54" s="23"/>
      <c r="E54" s="4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2:25" s="3" customFormat="1">
      <c r="D55" s="23"/>
      <c r="E55" s="4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2:25" s="3" customFormat="1">
      <c r="D56" s="23"/>
      <c r="E56" s="4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2:25" s="3" customFormat="1">
      <c r="D57" s="23"/>
      <c r="E57" s="4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2:25" s="3" customFormat="1">
      <c r="D58" s="23"/>
      <c r="E58" s="4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2:25" s="3" customFormat="1">
      <c r="D59" s="23"/>
      <c r="E59" s="4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2:25" s="3" customFormat="1">
      <c r="D60" s="23"/>
      <c r="E60" s="4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2:25" s="3" customFormat="1">
      <c r="D61" s="23"/>
      <c r="E61" s="4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2:25" s="3" customFormat="1">
      <c r="D62" s="23"/>
      <c r="E62" s="4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2:25" s="3" customFormat="1">
      <c r="D63" s="23"/>
      <c r="E63" s="4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2:25" s="3" customFormat="1">
      <c r="D64" s="23"/>
      <c r="E64" s="4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5">
      <c r="E65" s="46"/>
    </row>
    <row r="66" spans="1:5" s="4" customFormat="1">
      <c r="A66" s="3"/>
      <c r="B66"/>
      <c r="C66"/>
      <c r="D66" s="28"/>
      <c r="E66" s="46"/>
    </row>
    <row r="67" spans="1:5" s="4" customFormat="1">
      <c r="A67" s="3"/>
      <c r="B67"/>
      <c r="C67"/>
      <c r="D67" s="28"/>
      <c r="E67" s="46"/>
    </row>
  </sheetData>
  <sheetProtection formatCells="0" formatColumns="0" formatRows="0"/>
  <mergeCells count="31">
    <mergeCell ref="B10:C10"/>
    <mergeCell ref="B3:C3"/>
    <mergeCell ref="B5:C7"/>
    <mergeCell ref="D5:D7"/>
    <mergeCell ref="E5:E7"/>
    <mergeCell ref="B8:C8"/>
    <mergeCell ref="B9:C9"/>
    <mergeCell ref="B11:C11"/>
    <mergeCell ref="B12:C12"/>
    <mergeCell ref="B13:C13"/>
    <mergeCell ref="B14:C14"/>
    <mergeCell ref="B18:C20"/>
    <mergeCell ref="E29:E31"/>
    <mergeCell ref="B32:C32"/>
    <mergeCell ref="E18:E20"/>
    <mergeCell ref="B21:C21"/>
    <mergeCell ref="B22:C22"/>
    <mergeCell ref="B23:C23"/>
    <mergeCell ref="B24:C24"/>
    <mergeCell ref="B25:C25"/>
    <mergeCell ref="D18:D20"/>
    <mergeCell ref="B38:C38"/>
    <mergeCell ref="B26:C26"/>
    <mergeCell ref="B27:C27"/>
    <mergeCell ref="B29:C31"/>
    <mergeCell ref="D29:D31"/>
    <mergeCell ref="B33:C33"/>
    <mergeCell ref="B34:C34"/>
    <mergeCell ref="B35:C35"/>
    <mergeCell ref="B36:C36"/>
    <mergeCell ref="B37:C37"/>
  </mergeCells>
  <pageMargins left="0.70866141732283472" right="0.70866141732283472" top="0" bottom="0" header="0" footer="0"/>
  <pageSetup paperSize="9" orientation="portrait" horizontalDpi="4294967293" r:id="rId1"/>
  <headerFooter>
    <oddFooter>&amp;RDATA EMISSIONE 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044E4A-91C2-4FB9-B5F6-6AE51863B052}">
          <x14:formula1>
            <xm:f>Foglio1!$H$3:$H$4</xm:f>
          </x14:formula1>
          <xm:sqref>D5:D7 D18:D20 D29:D31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Foglio1</vt:lpstr>
      <vt:lpstr>Modulo</vt:lpstr>
      <vt:lpstr>Pagina 2 ( allegato)</vt:lpstr>
      <vt:lpstr>Modulo!Area_stampa</vt:lpstr>
      <vt:lpstr>'Pagina 2 ( allegato)'!Area_stampa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maurizio marchionni</cp:lastModifiedBy>
  <cp:lastPrinted>2026-04-14T21:12:20Z</cp:lastPrinted>
  <dcterms:created xsi:type="dcterms:W3CDTF">2026-03-25T13:51:39Z</dcterms:created>
  <dcterms:modified xsi:type="dcterms:W3CDTF">2026-04-14T21:13:38Z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2026-02-10T00:00:00Z</vt:filetime>
  </property>
  <property fmtid="{D5CDD505-2E9C-101B-9397-08002B2CF9AE}" pid="3" name="Creator">
    <vt:lpwstr>Hewlett-Packard MFP</vt:lpwstr>
  </property>
  <property fmtid="{D5CDD505-2E9C-101B-9397-08002B2CF9AE}" pid="4" name="LastSaved">
    <vt:filetime>2026-02-10T00:00:00Z</vt:filetime>
  </property>
</Properties>
</file>