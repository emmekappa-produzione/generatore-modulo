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Maurizio\Desktop\progetto_modulo\"/>
    </mc:Choice>
  </mc:AlternateContent>
  <xr:revisionPtr revIDLastSave="0" documentId="13_ncr:1_{610581F4-E171-4630-A9E9-FBD3DD1E87D6}" xr6:coauthVersionLast="47" xr6:coauthVersionMax="47" xr10:uidLastSave="{00000000-0000-0000-0000-000000000000}"/>
  <bookViews>
    <workbookView xWindow="-120" yWindow="-120" windowWidth="20640" windowHeight="11760" firstSheet="1" activeTab="1" xr2:uid="{00000000-000D-0000-FFFF-FFFF00000000}"/>
  </bookViews>
  <sheets>
    <sheet name="Foglio1" sheetId="6" state="hidden" r:id="rId1"/>
    <sheet name="Modulo" sheetId="7" r:id="rId2"/>
  </sheets>
  <definedNames>
    <definedName name="_xlnm.Print_Area" localSheetId="1">Modulo!$B$1:$D$85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7" l="1"/>
  <c r="D46" i="7" s="1"/>
  <c r="B85" i="7"/>
  <c r="B84" i="7"/>
  <c r="B81" i="7"/>
  <c r="B80" i="7"/>
  <c r="B74" i="7"/>
  <c r="B73" i="7"/>
  <c r="B72" i="7"/>
  <c r="B69" i="7"/>
  <c r="B61" i="7"/>
  <c r="B56" i="7"/>
  <c r="B35" i="7"/>
  <c r="B15" i="7"/>
  <c r="B14" i="7"/>
  <c r="B13" i="7"/>
  <c r="E79" i="7"/>
  <c r="B83" i="7" s="1"/>
  <c r="E68" i="7"/>
  <c r="B71" i="7" s="1"/>
  <c r="E55" i="7"/>
  <c r="B58" i="7" s="1"/>
  <c r="E34" i="7"/>
  <c r="E23" i="7"/>
  <c r="B25" i="7" s="1"/>
  <c r="E10" i="7"/>
  <c r="B12" i="7" s="1"/>
  <c r="B40" i="7"/>
  <c r="B29" i="7"/>
  <c r="B24" i="7"/>
  <c r="B16" i="7"/>
  <c r="B11" i="7"/>
  <c r="B50" i="7"/>
  <c r="C49" i="7"/>
  <c r="B26" i="7" l="1"/>
  <c r="B27" i="7"/>
  <c r="B28" i="7"/>
  <c r="B82" i="7"/>
  <c r="B70" i="7"/>
  <c r="B59" i="7"/>
  <c r="B60" i="7"/>
  <c r="B57" i="7"/>
</calcChain>
</file>

<file path=xl/sharedStrings.xml><?xml version="1.0" encoding="utf-8"?>
<sst xmlns="http://schemas.openxmlformats.org/spreadsheetml/2006/main" count="56" uniqueCount="49">
  <si>
    <t>TIPOLOGIA  PRODOTTO</t>
  </si>
  <si>
    <t>Fanali C L  201_</t>
  </si>
  <si>
    <t>Fanali C L  301_</t>
  </si>
  <si>
    <t>Fanali C L  401_</t>
  </si>
  <si>
    <t>FLASHER CLR 70_</t>
  </si>
  <si>
    <t>Fanali C S  155_</t>
  </si>
  <si>
    <t>Fanali C S  250_</t>
  </si>
  <si>
    <t>Fanali C L  299 _</t>
  </si>
  <si>
    <t>FLASHER CLR 70H_</t>
  </si>
  <si>
    <t>Fanali C L  299 H_</t>
  </si>
  <si>
    <t>Fanali C L  301 H_</t>
  </si>
  <si>
    <t>Fanali C L  401 H_</t>
  </si>
  <si>
    <t>Fotocellula</t>
  </si>
  <si>
    <t>Regolatore di Carica</t>
  </si>
  <si>
    <t>Bianca</t>
  </si>
  <si>
    <t>Rossa</t>
  </si>
  <si>
    <t>Verde</t>
  </si>
  <si>
    <t>Gialla</t>
  </si>
  <si>
    <t>Settorizzato</t>
  </si>
  <si>
    <t>Oscurato</t>
  </si>
  <si>
    <t>Lampade</t>
  </si>
  <si>
    <t>CLIENTE</t>
  </si>
  <si>
    <t>COMMESSA                    N°</t>
  </si>
  <si>
    <t>RESINEX</t>
  </si>
  <si>
    <t>1° Articolo</t>
  </si>
  <si>
    <t>2° Articolo</t>
  </si>
  <si>
    <t>3° Articolo</t>
  </si>
  <si>
    <t>4° Articolo</t>
  </si>
  <si>
    <t>5° Articolo</t>
  </si>
  <si>
    <t>6° Articolo</t>
  </si>
  <si>
    <t>Mod. 119-GC2  Rev.0 del 25-03-26</t>
  </si>
  <si>
    <t>Alimentatore  220VAC/ 12VCC  1A</t>
  </si>
  <si>
    <t>Batteria</t>
  </si>
  <si>
    <t>Pannello Solare</t>
  </si>
  <si>
    <t>VENDITA</t>
  </si>
  <si>
    <t>RIPARAZIONE</t>
  </si>
  <si>
    <t xml:space="preserve">                                                SPEDIRE ENTRO IL </t>
  </si>
  <si>
    <t>SI</t>
  </si>
  <si>
    <t>NO</t>
  </si>
  <si>
    <t/>
  </si>
  <si>
    <t xml:space="preserve">                                  DESTINAZIONE MERCE</t>
  </si>
  <si>
    <t xml:space="preserve"> </t>
  </si>
  <si>
    <t xml:space="preserve">  comm.</t>
  </si>
  <si>
    <t xml:space="preserve">allegato 1          </t>
  </si>
  <si>
    <t>Caratteristica di lampeggio</t>
  </si>
  <si>
    <t>Portata                          MN</t>
  </si>
  <si>
    <t>Colore della luce</t>
  </si>
  <si>
    <t>Sincronismo GPS</t>
  </si>
  <si>
    <t>Segue allegato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</si>
</sst>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22">
    <font>
      <sz val="10"/>
      <color rgb="FF000000"/>
      <name val="Times New Roman"/>
      <charset val="204"/>
    </font>
    <font>
      <sz val="12.5"/>
      <name val="Arial MT"/>
    </font>
    <font>
      <sz val="12.5"/>
      <color rgb="FF000000"/>
      <name val="Arial MT"/>
      <family val="2"/>
    </font>
    <font>
      <sz val="13"/>
      <name val="Arial MT"/>
    </font>
    <font>
      <sz val="16.5"/>
      <name val="Trebuchet MS"/>
      <family val="2"/>
    </font>
    <font>
      <sz val="14.5"/>
      <name val="Trebuchet MS"/>
      <family val="2"/>
    </font>
    <font>
      <sz val="12.5"/>
      <name val="Arial MT"/>
      <family val="2"/>
    </font>
    <font>
      <b/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name val="Arial MT"/>
    </font>
    <font>
      <sz val="10"/>
      <color rgb="FF000000"/>
      <name val="Times New Roman"/>
      <family val="1"/>
    </font>
    <font>
      <b/>
      <sz val="13"/>
      <name val="Arial MT"/>
    </font>
    <font>
      <sz val="10"/>
      <color theme="0"/>
      <name val="Times New Roman"/>
      <family val="1"/>
    </font>
    <font>
      <sz val="14"/>
      <color rgb="FF000000"/>
      <name val="Times New Roman"/>
      <family val="1"/>
    </font>
    <font>
      <b/>
      <sz val="12"/>
      <name val="Arial MT"/>
    </font>
    <font>
      <sz val="12"/>
      <color rgb="FF000000"/>
      <name val="Arial MT"/>
    </font>
    <font>
      <sz val="12"/>
      <name val="Arial MT"/>
    </font>
    <font>
      <b/>
      <sz val="14"/>
      <name val="Arial MT"/>
    </font>
    <font>
      <sz val="9"/>
      <color rgb="FF000000"/>
      <name val="Times New Roman"/>
      <family val="1"/>
    </font>
    <font>
      <sz val="10"/>
      <color rgb="FFFF0000"/>
      <name val="Times New Roman"/>
      <family val="1"/>
    </font>
    <font>
      <sz val="14"/>
      <color rgb="FFFF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/>
    </xf>
    <xf numFmtId="1" fontId="2" fillId="0" borderId="8" xfId="0" applyNumberFormat="1" applyFont="1" applyBorder="1" applyAlignment="1" applyProtection="1">
      <alignment horizontal="center" shrinkToFit="1"/>
      <protection locked="0"/>
    </xf>
    <xf numFmtId="0" fontId="9" fillId="0" borderId="7" xfId="0" applyFont="1" applyBorder="1" applyAlignment="1" applyProtection="1">
      <alignment horizontal="center"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16" fontId="6" fillId="0" borderId="8" xfId="0" applyNumberFormat="1" applyFont="1" applyBorder="1" applyAlignment="1" applyProtection="1">
      <alignment horizontal="center" wrapText="1"/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0" fontId="1" fillId="0" borderId="8" xfId="0" applyFont="1" applyBorder="1" applyAlignment="1" applyProtection="1">
      <alignment horizontal="center" wrapText="1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11" fillId="2" borderId="0" xfId="0" applyFont="1" applyFill="1" applyAlignment="1">
      <alignment horizontal="left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11" fillId="0" borderId="14" xfId="0" applyFont="1" applyBorder="1" applyAlignment="1">
      <alignment vertical="top" wrapText="1"/>
    </xf>
    <xf numFmtId="0" fontId="0" fillId="2" borderId="0" xfId="0" applyFill="1" applyAlignment="1" applyProtection="1">
      <alignment horizontal="left" vertical="top"/>
      <protection locked="0"/>
    </xf>
    <xf numFmtId="0" fontId="12" fillId="2" borderId="0" xfId="0" applyFont="1" applyFill="1" applyAlignment="1" applyProtection="1">
      <alignment horizontal="left" vertical="top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3" borderId="0" xfId="0" applyFill="1" applyAlignment="1" applyProtection="1">
      <alignment horizontal="left" vertical="top"/>
      <protection locked="0"/>
    </xf>
    <xf numFmtId="0" fontId="14" fillId="0" borderId="14" xfId="0" applyFont="1" applyBorder="1" applyAlignment="1" applyProtection="1">
      <alignment vertical="top" wrapText="1"/>
      <protection locked="0"/>
    </xf>
    <xf numFmtId="0" fontId="0" fillId="2" borderId="0" xfId="0" applyFill="1" applyAlignment="1">
      <alignment horizontal="left"/>
    </xf>
    <xf numFmtId="0" fontId="12" fillId="2" borderId="0" xfId="0" applyFont="1" applyFill="1" applyAlignment="1">
      <alignment horizontal="left"/>
    </xf>
    <xf numFmtId="0" fontId="11" fillId="0" borderId="2" xfId="0" applyFont="1" applyBorder="1" applyAlignment="1" applyProtection="1">
      <alignment vertical="center" wrapText="1"/>
      <protection locked="0"/>
    </xf>
    <xf numFmtId="0" fontId="0" fillId="2" borderId="0" xfId="0" applyFill="1" applyAlignment="1">
      <alignment vertical="top"/>
    </xf>
    <xf numFmtId="0" fontId="5" fillId="0" borderId="9" xfId="0" applyFont="1" applyBorder="1" applyAlignment="1" applyProtection="1">
      <alignment horizontal="center" wrapText="1"/>
      <protection locked="0"/>
    </xf>
    <xf numFmtId="0" fontId="4" fillId="0" borderId="17" xfId="0" applyFont="1" applyBorder="1" applyAlignment="1" applyProtection="1">
      <alignment horizontal="center" wrapText="1"/>
      <protection locked="0"/>
    </xf>
    <xf numFmtId="0" fontId="11" fillId="0" borderId="21" xfId="0" applyFont="1" applyBorder="1" applyAlignment="1">
      <alignment vertical="center" wrapText="1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>
      <alignment wrapText="1"/>
    </xf>
    <xf numFmtId="1" fontId="15" fillId="0" borderId="8" xfId="0" applyNumberFormat="1" applyFont="1" applyBorder="1" applyAlignment="1" applyProtection="1">
      <alignment horizontal="center" shrinkToFit="1"/>
      <protection locked="0"/>
    </xf>
    <xf numFmtId="16" fontId="16" fillId="0" borderId="8" xfId="0" applyNumberFormat="1" applyFont="1" applyBorder="1" applyAlignment="1" applyProtection="1">
      <alignment horizontal="center" wrapText="1"/>
      <protection locked="0"/>
    </xf>
    <xf numFmtId="0" fontId="16" fillId="0" borderId="8" xfId="0" applyFont="1" applyBorder="1" applyAlignment="1" applyProtection="1">
      <alignment horizontal="center" wrapText="1"/>
      <protection locked="0"/>
    </xf>
    <xf numFmtId="0" fontId="17" fillId="0" borderId="7" xfId="0" applyFont="1" applyBorder="1" applyAlignment="1" applyProtection="1">
      <alignment horizontal="center" wrapText="1"/>
      <protection locked="0"/>
    </xf>
    <xf numFmtId="0" fontId="18" fillId="0" borderId="9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right" vertical="top"/>
      <protection locked="0"/>
    </xf>
    <xf numFmtId="0" fontId="19" fillId="2" borderId="0" xfId="0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2" borderId="0" xfId="0" applyFont="1" applyFill="1" applyAlignment="1">
      <alignment horizontal="left"/>
    </xf>
    <xf numFmtId="0" fontId="19" fillId="3" borderId="0" xfId="0" applyFont="1" applyFill="1" applyAlignment="1">
      <alignment horizontal="left" vertical="top"/>
    </xf>
    <xf numFmtId="0" fontId="21" fillId="0" borderId="0" xfId="0" applyFont="1" applyAlignment="1" applyProtection="1">
      <alignment horizontal="left" vertical="top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top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20" fillId="2" borderId="0" xfId="0" applyFont="1" applyFill="1" applyAlignment="1">
      <alignment horizontal="center" vertical="center" wrapText="1"/>
    </xf>
    <xf numFmtId="0" fontId="3" fillId="0" borderId="13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2" xfId="0" applyFont="1" applyBorder="1" applyAlignment="1">
      <alignment horizontal="left" vertical="center" wrapText="1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 applyProtection="1">
      <alignment horizontal="center" vertical="center" wrapText="1"/>
      <protection locked="0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82522</xdr:colOff>
      <xdr:row>0</xdr:row>
      <xdr:rowOff>0</xdr:rowOff>
    </xdr:from>
    <xdr:to>
      <xdr:col>2</xdr:col>
      <xdr:colOff>437254</xdr:colOff>
      <xdr:row>2</xdr:row>
      <xdr:rowOff>400050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DC5F422-7673-53E1-2D9B-2098D187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347" y="0"/>
          <a:ext cx="2059707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47</xdr:row>
      <xdr:rowOff>45720</xdr:rowOff>
    </xdr:from>
    <xdr:to>
      <xdr:col>2</xdr:col>
      <xdr:colOff>362352</xdr:colOff>
      <xdr:row>48</xdr:row>
      <xdr:rowOff>14066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5E139B6-BE22-4CE6-A33C-AB8415E44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10904220"/>
          <a:ext cx="2404512" cy="745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2FDC-54A7-42E6-B779-2F7DD33D30E3}">
  <sheetPr codeName="Foglio2"/>
  <dimension ref="B3:H19"/>
  <sheetViews>
    <sheetView workbookViewId="0">
      <selection activeCell="I16" sqref="I16"/>
    </sheetView>
  </sheetViews>
  <sheetFormatPr defaultRowHeight="12.75"/>
  <cols>
    <col min="2" max="2" width="59.6640625" customWidth="1"/>
    <col min="4" max="4" width="9.83203125" customWidth="1"/>
  </cols>
  <sheetData>
    <row r="3" spans="2:8" ht="20.25">
      <c r="B3" s="1" t="s">
        <v>1</v>
      </c>
      <c r="D3" s="2" t="s">
        <v>14</v>
      </c>
      <c r="H3" t="s">
        <v>34</v>
      </c>
    </row>
    <row r="4" spans="2:8" ht="20.25">
      <c r="B4" s="1" t="s">
        <v>2</v>
      </c>
      <c r="D4" s="2" t="s">
        <v>15</v>
      </c>
      <c r="H4" t="s">
        <v>35</v>
      </c>
    </row>
    <row r="5" spans="2:8" ht="20.25">
      <c r="B5" s="1" t="s">
        <v>3</v>
      </c>
      <c r="D5" s="2" t="s">
        <v>16</v>
      </c>
    </row>
    <row r="6" spans="2:8" ht="20.25">
      <c r="B6" s="1" t="s">
        <v>4</v>
      </c>
      <c r="D6" s="2" t="s">
        <v>17</v>
      </c>
    </row>
    <row r="7" spans="2:8" ht="20.25">
      <c r="B7" s="1" t="s">
        <v>5</v>
      </c>
      <c r="D7" s="2" t="s">
        <v>18</v>
      </c>
    </row>
    <row r="8" spans="2:8" ht="20.25">
      <c r="B8" s="1" t="s">
        <v>6</v>
      </c>
      <c r="D8" s="2" t="s">
        <v>19</v>
      </c>
    </row>
    <row r="9" spans="2:8" ht="20.25">
      <c r="B9" s="1" t="s">
        <v>7</v>
      </c>
    </row>
    <row r="10" spans="2:8" ht="20.25">
      <c r="B10" s="1" t="s">
        <v>8</v>
      </c>
      <c r="H10" s="2" t="s">
        <v>37</v>
      </c>
    </row>
    <row r="11" spans="2:8" ht="20.25">
      <c r="B11" s="1" t="s">
        <v>9</v>
      </c>
      <c r="H11" s="2" t="s">
        <v>38</v>
      </c>
    </row>
    <row r="12" spans="2:8" ht="20.25">
      <c r="B12" s="1" t="s">
        <v>10</v>
      </c>
    </row>
    <row r="13" spans="2:8" ht="20.25">
      <c r="B13" s="1" t="s">
        <v>11</v>
      </c>
      <c r="D13" s="2" t="s">
        <v>21</v>
      </c>
    </row>
    <row r="14" spans="2:8" ht="20.25">
      <c r="B14" s="1" t="s">
        <v>12</v>
      </c>
      <c r="D14" s="2" t="s">
        <v>23</v>
      </c>
    </row>
    <row r="15" spans="2:8" ht="20.25">
      <c r="B15" s="1" t="s">
        <v>13</v>
      </c>
    </row>
    <row r="16" spans="2:8" ht="20.25">
      <c r="B16" s="1" t="s">
        <v>31</v>
      </c>
    </row>
    <row r="17" spans="2:2" ht="20.25">
      <c r="B17" s="1" t="s">
        <v>32</v>
      </c>
    </row>
    <row r="18" spans="2:2" ht="20.25">
      <c r="B18" s="1" t="s">
        <v>33</v>
      </c>
    </row>
    <row r="19" spans="2:2" ht="20.25">
      <c r="B19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E4BB-79A5-4D84-AAD0-26E3BA66DC3E}">
  <sheetPr codeName="Foglio3"/>
  <dimension ref="A1:Y114"/>
  <sheetViews>
    <sheetView tabSelected="1" topLeftCell="A78" zoomScaleNormal="100" zoomScaleSheetLayoutView="131" workbookViewId="0">
      <selection activeCell="D76" sqref="D76:D7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/>
  <cols>
    <col min="1" max="1" width="8.83203125" style="3"/>
    <col min="2" max="2" width="29.83203125" customWidth="1"/>
    <col min="3" max="3" width="12.6640625" customWidth="1"/>
    <col min="4" max="4" width="53.1640625" style="28" customWidth="1"/>
    <col min="5" max="5" width="23.5" style="47" hidden="1" customWidth="1"/>
    <col min="6" max="6" width="0" style="4" hidden="1" customWidth="1"/>
    <col min="7" max="25" width="8.83203125" style="4"/>
  </cols>
  <sheetData>
    <row r="1" spans="1:25" s="3" customFormat="1">
      <c r="D1" s="23"/>
      <c r="E1" s="5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s="3" customFormat="1">
      <c r="B2" s="4"/>
      <c r="C2" s="4"/>
      <c r="D2" s="24"/>
      <c r="E2" s="5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4.5" customHeight="1" thickBot="1">
      <c r="B3" s="5"/>
      <c r="C3" s="5"/>
      <c r="D3" s="24"/>
      <c r="E3" s="52"/>
    </row>
    <row r="4" spans="1:25" ht="27" customHeight="1">
      <c r="B4" s="66" t="s">
        <v>21</v>
      </c>
      <c r="C4" s="67"/>
      <c r="D4" s="36"/>
      <c r="E4" s="46"/>
    </row>
    <row r="5" spans="1:25" ht="27" customHeight="1" thickBot="1">
      <c r="B5" s="68" t="s">
        <v>22</v>
      </c>
      <c r="C5" s="69"/>
      <c r="D5" s="35"/>
      <c r="E5" s="46"/>
    </row>
    <row r="6" spans="1:25" ht="9.9499999999999993" customHeight="1" thickBot="1">
      <c r="B6" s="18"/>
      <c r="C6" s="18"/>
      <c r="D6" s="12"/>
    </row>
    <row r="7" spans="1:25" s="3" customFormat="1" ht="20.45" customHeight="1">
      <c r="B7" s="53" t="s">
        <v>24</v>
      </c>
      <c r="C7" s="54"/>
      <c r="D7" s="71"/>
      <c r="E7" s="6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s="3" customFormat="1" ht="6" customHeight="1">
      <c r="B8" s="55"/>
      <c r="C8" s="56"/>
      <c r="D8" s="72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1" customHeight="1">
      <c r="B9" s="55"/>
      <c r="C9" s="56"/>
      <c r="D9" s="72"/>
      <c r="E9" s="63"/>
    </row>
    <row r="10" spans="1:25" s="6" customFormat="1" ht="28.15" customHeight="1">
      <c r="A10" s="31"/>
      <c r="B10" s="64" t="s">
        <v>0</v>
      </c>
      <c r="C10" s="65"/>
      <c r="D10" s="43"/>
      <c r="E10" s="48" t="str">
        <f>MID(D10,1,6)</f>
        <v/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s="6" customFormat="1" ht="21" customHeight="1">
      <c r="A11" s="31"/>
      <c r="B11" s="59" t="str">
        <f>IF(D10=""," ","Q.ta")</f>
        <v xml:space="preserve"> </v>
      </c>
      <c r="C11" s="60"/>
      <c r="D11" s="40"/>
      <c r="E11" s="4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s="6" customFormat="1" ht="21" customHeight="1">
      <c r="A12" s="31"/>
      <c r="B12" s="59" t="str">
        <f>IF(E10="INTERN","Caratteristica di lampeggio",IF(E10="FANALI","Caratteristica di lampeggio",""))</f>
        <v/>
      </c>
      <c r="C12" s="60"/>
      <c r="D12" s="41"/>
      <c r="E12" s="48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s="6" customFormat="1" ht="21" customHeight="1">
      <c r="A13" s="31"/>
      <c r="B13" s="59" t="str">
        <f>IF(E10="INTERN","Portata                          MN",IF(E10="FANALI","Portata                          MN",""))</f>
        <v/>
      </c>
      <c r="C13" s="60"/>
      <c r="D13" s="42"/>
      <c r="E13" s="48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s="6" customFormat="1" ht="21" customHeight="1">
      <c r="A14" s="31"/>
      <c r="B14" s="59" t="str">
        <f>IF(E10="INTERN","Colore della luce",IF(E10="FANALI","Colore della luce",""))</f>
        <v/>
      </c>
      <c r="C14" s="60"/>
      <c r="D14" s="42"/>
      <c r="E14" s="48" t="s">
        <v>41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s="6" customFormat="1" ht="21" customHeight="1">
      <c r="A15" s="31"/>
      <c r="B15" s="59" t="str">
        <f>IF(E10="INTERN","Sincronismo GPS",IF(E10="FANALI","Sincronismo GPS",""))</f>
        <v/>
      </c>
      <c r="C15" s="60"/>
      <c r="D15" s="42"/>
      <c r="E15" s="48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s="6" customFormat="1" ht="21" customHeight="1" thickBot="1">
      <c r="A16" s="31"/>
      <c r="B16" s="61" t="str">
        <f>IF(D10=""," ","Note/specifiche")</f>
        <v xml:space="preserve"> </v>
      </c>
      <c r="C16" s="62"/>
      <c r="D16" s="44"/>
      <c r="E16" s="48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8.1" customHeight="1">
      <c r="B17" s="7"/>
      <c r="C17" s="7"/>
      <c r="D17" s="25"/>
      <c r="E17" s="46"/>
    </row>
    <row r="18" spans="1:25" ht="1.1499999999999999" customHeight="1">
      <c r="B18" s="19"/>
      <c r="C18" s="19"/>
      <c r="D18" s="26"/>
      <c r="E18" s="46"/>
    </row>
    <row r="19" spans="1:25" ht="1.1499999999999999" customHeight="1" thickBot="1">
      <c r="B19" s="19"/>
      <c r="C19" s="8"/>
      <c r="D19" s="26"/>
    </row>
    <row r="20" spans="1:25" s="3" customFormat="1" ht="20.45" customHeight="1">
      <c r="B20" s="53" t="s">
        <v>25</v>
      </c>
      <c r="C20" s="54"/>
      <c r="D20" s="71"/>
      <c r="E20" s="6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s="3" customFormat="1" ht="6" customHeight="1">
      <c r="B21" s="55"/>
      <c r="C21" s="56"/>
      <c r="D21" s="72"/>
      <c r="E21" s="6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1" customHeight="1">
      <c r="B22" s="55"/>
      <c r="C22" s="56"/>
      <c r="D22" s="72"/>
      <c r="E22" s="63"/>
    </row>
    <row r="23" spans="1:25" s="6" customFormat="1" ht="28.15" customHeight="1">
      <c r="A23" s="31"/>
      <c r="B23" s="64" t="s">
        <v>0</v>
      </c>
      <c r="C23" s="65"/>
      <c r="D23" s="43"/>
      <c r="E23" s="48" t="str">
        <f>MID(D23,1,6)</f>
        <v/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s="6" customFormat="1" ht="21" customHeight="1">
      <c r="A24" s="31"/>
      <c r="B24" s="59" t="str">
        <f>IF(D23=""," ","Q.ta")</f>
        <v xml:space="preserve"> </v>
      </c>
      <c r="C24" s="60"/>
      <c r="D24" s="40"/>
      <c r="E24" s="48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s="6" customFormat="1" ht="21" customHeight="1">
      <c r="A25" s="31"/>
      <c r="B25" s="59" t="str">
        <f>IF(E23="INTERN","Caratteristica di lampeggio",IF(E23="FANALI","Caratteristica di lampeggio",""))</f>
        <v/>
      </c>
      <c r="C25" s="60"/>
      <c r="D25" s="41"/>
      <c r="E25" s="48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s="6" customFormat="1" ht="21" customHeight="1">
      <c r="A26" s="31"/>
      <c r="B26" s="59" t="str">
        <f>IF(E23="INTERN","Portata                          MN",IF(E23="FANALI","Portata                          MN",""))</f>
        <v/>
      </c>
      <c r="C26" s="60"/>
      <c r="D26" s="42"/>
      <c r="E26" s="48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s="6" customFormat="1" ht="21" customHeight="1">
      <c r="A27" s="31"/>
      <c r="B27" s="59" t="str">
        <f>IF(E23="INTERN","Colore della luce",IF(E23="FANALI","Colore della luce",""))</f>
        <v/>
      </c>
      <c r="C27" s="60"/>
      <c r="D27" s="42"/>
      <c r="E27" s="48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s="6" customFormat="1" ht="21" customHeight="1">
      <c r="A28" s="31"/>
      <c r="B28" s="59" t="str">
        <f>IF(E23="INTERN","Sincronismo GPS",IF(E23="FANALI","Sincronismo GPS",""))</f>
        <v/>
      </c>
      <c r="C28" s="60"/>
      <c r="D28" s="42"/>
      <c r="E28" s="48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6" customFormat="1" ht="21" customHeight="1" thickBot="1">
      <c r="A29" s="31"/>
      <c r="B29" s="61" t="str">
        <f>IF(D23=""," ","Note/specifiche")</f>
        <v xml:space="preserve"> </v>
      </c>
      <c r="C29" s="62"/>
      <c r="D29" s="44"/>
      <c r="E29" s="48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ht="8.1" customHeight="1" thickBot="1">
      <c r="B30" s="7"/>
      <c r="C30" s="7"/>
      <c r="D30" s="25"/>
    </row>
    <row r="31" spans="1:25" s="3" customFormat="1" ht="20.45" customHeight="1">
      <c r="B31" s="53" t="s">
        <v>26</v>
      </c>
      <c r="C31" s="54"/>
      <c r="D31" s="71"/>
      <c r="E31" s="6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3" customFormat="1" ht="6" customHeight="1">
      <c r="B32" s="55"/>
      <c r="C32" s="56"/>
      <c r="D32" s="72"/>
      <c r="E32" s="6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1" customHeight="1">
      <c r="B33" s="55"/>
      <c r="C33" s="56"/>
      <c r="D33" s="72"/>
      <c r="E33" s="63"/>
    </row>
    <row r="34" spans="1:25" s="6" customFormat="1" ht="28.15" customHeight="1">
      <c r="A34" s="31"/>
      <c r="B34" s="64" t="s">
        <v>0</v>
      </c>
      <c r="C34" s="65"/>
      <c r="D34" s="43"/>
      <c r="E34" s="48" t="str">
        <f>MID(D34,1,6)</f>
        <v/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s="6" customFormat="1" ht="21" customHeight="1">
      <c r="A35" s="31"/>
      <c r="B35" s="59" t="str">
        <f>IF(D34=""," ","Q.ta")</f>
        <v xml:space="preserve"> </v>
      </c>
      <c r="C35" s="60"/>
      <c r="D35" s="40"/>
      <c r="E35" s="48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s="6" customFormat="1" ht="21" customHeight="1">
      <c r="A36" s="31"/>
      <c r="B36" s="59" t="s">
        <v>44</v>
      </c>
      <c r="C36" s="60"/>
      <c r="D36" s="41"/>
      <c r="E36" s="48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s="6" customFormat="1" ht="21" customHeight="1">
      <c r="A37" s="31"/>
      <c r="B37" s="59" t="s">
        <v>45</v>
      </c>
      <c r="C37" s="60"/>
      <c r="D37" s="42"/>
      <c r="E37" s="48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s="6" customFormat="1" ht="21" customHeight="1">
      <c r="A38" s="31"/>
      <c r="B38" s="59" t="s">
        <v>46</v>
      </c>
      <c r="C38" s="60"/>
      <c r="D38" s="42"/>
      <c r="E38" s="48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s="6" customFormat="1" ht="21" customHeight="1">
      <c r="A39" s="31"/>
      <c r="B39" s="59" t="s">
        <v>47</v>
      </c>
      <c r="C39" s="60"/>
      <c r="D39" s="42"/>
      <c r="E39" s="48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s="6" customFormat="1" ht="21" customHeight="1" thickBot="1">
      <c r="A40" s="31"/>
      <c r="B40" s="61" t="str">
        <f>IF(D34=""," ","Note/specifiche")</f>
        <v xml:space="preserve"> </v>
      </c>
      <c r="C40" s="62"/>
      <c r="D40" s="44"/>
      <c r="E40" s="48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ht="10.15" customHeight="1" thickBot="1">
      <c r="B41" s="7"/>
      <c r="C41" s="7"/>
      <c r="D41" s="25"/>
      <c r="E41" s="46"/>
    </row>
    <row r="42" spans="1:25" ht="15" thickBot="1">
      <c r="B42" s="57" t="s">
        <v>36</v>
      </c>
      <c r="C42" s="58"/>
      <c r="D42" s="16"/>
      <c r="E42" s="46"/>
    </row>
    <row r="43" spans="1:25" ht="8.1" customHeight="1" thickBot="1">
      <c r="B43" s="20"/>
      <c r="D43" s="27"/>
      <c r="E43" s="46"/>
    </row>
    <row r="44" spans="1:25" ht="13.5" thickBot="1">
      <c r="B44" s="57" t="s">
        <v>40</v>
      </c>
      <c r="C44" s="58"/>
      <c r="D44" s="17"/>
      <c r="E44" s="46"/>
    </row>
    <row r="45" spans="1:25" ht="8.1" customHeight="1">
      <c r="B45" s="20"/>
      <c r="C45" s="20" t="s">
        <v>39</v>
      </c>
      <c r="E45" s="46"/>
    </row>
    <row r="46" spans="1:25" ht="21.6" customHeight="1">
      <c r="B46" s="20" t="s">
        <v>30</v>
      </c>
      <c r="C46" s="20"/>
      <c r="D46" s="50" t="str">
        <f>IF(F55=1,E46,"")</f>
        <v/>
      </c>
      <c r="E46" s="46" t="s">
        <v>48</v>
      </c>
    </row>
    <row r="47" spans="1:25" s="9" customFormat="1" ht="4.1500000000000004" customHeight="1">
      <c r="A47" s="3"/>
      <c r="B47" s="21"/>
      <c r="C47" s="21"/>
      <c r="D47" s="29"/>
      <c r="E47" s="4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9" customFormat="1" ht="61.15" customHeight="1">
      <c r="A48" s="3"/>
      <c r="B48" s="20"/>
      <c r="C48" s="20"/>
      <c r="D48" s="45" t="s">
        <v>43</v>
      </c>
      <c r="E48" s="4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6.5">
      <c r="B49" s="22" t="s">
        <v>42</v>
      </c>
      <c r="C49" s="39">
        <f>D5</f>
        <v>0</v>
      </c>
      <c r="D49" s="30"/>
      <c r="E49" s="46"/>
    </row>
    <row r="50" spans="1:25" ht="27" customHeight="1">
      <c r="B50" s="70">
        <f>D4</f>
        <v>0</v>
      </c>
      <c r="C50" s="70"/>
      <c r="D50" s="33"/>
      <c r="E50" s="46"/>
    </row>
    <row r="51" spans="1:25" ht="27" customHeight="1" thickBot="1">
      <c r="B51" s="37"/>
      <c r="C51" s="37"/>
      <c r="D51" s="38"/>
      <c r="E51" s="46"/>
    </row>
    <row r="52" spans="1:25" s="3" customFormat="1" ht="20.45" customHeight="1">
      <c r="B52" s="53" t="s">
        <v>27</v>
      </c>
      <c r="C52" s="54"/>
      <c r="D52" s="71"/>
      <c r="E52" s="6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s="3" customFormat="1" ht="6" customHeight="1">
      <c r="B53" s="55"/>
      <c r="C53" s="56"/>
      <c r="D53" s="72"/>
      <c r="E53" s="6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21" customHeight="1">
      <c r="B54" s="55"/>
      <c r="C54" s="56"/>
      <c r="D54" s="72"/>
      <c r="E54" s="63"/>
    </row>
    <row r="55" spans="1:25" s="6" customFormat="1" ht="28.15" customHeight="1">
      <c r="A55" s="31"/>
      <c r="B55" s="64" t="s">
        <v>0</v>
      </c>
      <c r="C55" s="65"/>
      <c r="D55" s="11"/>
      <c r="E55" s="48" t="str">
        <f>MID(D55,1,6)</f>
        <v/>
      </c>
      <c r="F55" s="48">
        <f>IF(D55="",0,1)</f>
        <v>0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s="6" customFormat="1" ht="21" customHeight="1">
      <c r="A56" s="31"/>
      <c r="B56" s="59" t="str">
        <f>IF(D55=""," ","Q.ta")</f>
        <v xml:space="preserve"> </v>
      </c>
      <c r="C56" s="60"/>
      <c r="D56" s="10"/>
      <c r="E56" s="48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s="6" customFormat="1" ht="21" customHeight="1">
      <c r="A57" s="31"/>
      <c r="B57" s="59" t="str">
        <f>IF(E55="INTERN","Caratteristica di lampeggio",IF(E55="FANALI","Caratteristica di lampeggio",""))</f>
        <v/>
      </c>
      <c r="C57" s="60"/>
      <c r="D57" s="13"/>
      <c r="E57" s="48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s="6" customFormat="1" ht="21" customHeight="1">
      <c r="A58" s="31"/>
      <c r="B58" s="59" t="str">
        <f>IF(E55="INTERN","Portata                          MN",IF(E55="FANALI","Portata                          MN",""))</f>
        <v/>
      </c>
      <c r="C58" s="60"/>
      <c r="D58" s="14"/>
      <c r="E58" s="48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s="6" customFormat="1" ht="21" customHeight="1">
      <c r="A59" s="31"/>
      <c r="B59" s="59" t="str">
        <f>IF(E55="INTERN","Colore della luce",IF(E55="FANALI","Colore della luce",""))</f>
        <v/>
      </c>
      <c r="C59" s="60"/>
      <c r="D59" s="15"/>
      <c r="E59" s="48" t="s">
        <v>41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s="6" customFormat="1" ht="21" customHeight="1">
      <c r="A60" s="31"/>
      <c r="B60" s="59" t="str">
        <f>IF(E55="INTERN","Sincronismo GPS",IF(E55="FANALI","Sincronismo GPS",""))</f>
        <v/>
      </c>
      <c r="C60" s="60"/>
      <c r="D60" s="15"/>
      <c r="E60" s="48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 s="6" customFormat="1" ht="21" customHeight="1" thickBot="1">
      <c r="A61" s="31"/>
      <c r="B61" s="61" t="str">
        <f>IF(D55=""," ","Note/specifiche")</f>
        <v xml:space="preserve"> </v>
      </c>
      <c r="C61" s="62"/>
      <c r="D61" s="51"/>
      <c r="E61" s="48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 ht="10.15" customHeight="1">
      <c r="B62" s="7"/>
      <c r="C62" s="7"/>
      <c r="D62" s="25"/>
      <c r="E62" s="46"/>
    </row>
    <row r="63" spans="1:25" ht="1.1499999999999999" customHeight="1">
      <c r="B63" s="19"/>
      <c r="C63" s="19"/>
      <c r="D63" s="26"/>
      <c r="E63" s="46"/>
    </row>
    <row r="64" spans="1:25" ht="1.1499999999999999" customHeight="1" thickBot="1">
      <c r="B64" s="19"/>
      <c r="C64" s="8"/>
      <c r="D64" s="26"/>
    </row>
    <row r="65" spans="1:25" s="3" customFormat="1" ht="20.45" customHeight="1">
      <c r="B65" s="53" t="s">
        <v>28</v>
      </c>
      <c r="C65" s="54"/>
      <c r="D65" s="71"/>
      <c r="E65" s="6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s="3" customFormat="1" ht="6" customHeight="1">
      <c r="B66" s="55"/>
      <c r="C66" s="56"/>
      <c r="D66" s="72"/>
      <c r="E66" s="6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21" customHeight="1">
      <c r="B67" s="55"/>
      <c r="C67" s="56"/>
      <c r="D67" s="72"/>
      <c r="E67" s="63"/>
    </row>
    <row r="68" spans="1:25" s="6" customFormat="1" ht="28.15" customHeight="1">
      <c r="A68" s="31"/>
      <c r="B68" s="64" t="s">
        <v>0</v>
      </c>
      <c r="C68" s="65"/>
      <c r="D68" s="11"/>
      <c r="E68" s="48" t="str">
        <f>MID(D68,1,6)</f>
        <v/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 s="6" customFormat="1" ht="21" customHeight="1">
      <c r="A69" s="31"/>
      <c r="B69" s="59" t="str">
        <f>IF(D68=""," ","Q.ta")</f>
        <v xml:space="preserve"> </v>
      </c>
      <c r="C69" s="60"/>
      <c r="D69" s="10"/>
      <c r="E69" s="48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 s="6" customFormat="1" ht="21" customHeight="1">
      <c r="A70" s="31"/>
      <c r="B70" s="59" t="str">
        <f>IF(E68="INTERN","Caratteristica di lampeggio",IF(E68="FANALI","Caratteristica di lampeggio",""))</f>
        <v/>
      </c>
      <c r="C70" s="60"/>
      <c r="D70" s="13"/>
      <c r="E70" s="48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 s="6" customFormat="1" ht="21" customHeight="1">
      <c r="A71" s="31"/>
      <c r="B71" s="59" t="str">
        <f>IF(E68="INTERN","Portata                          MN",IF(E68="FANALI","Portata                          MN",""))</f>
        <v/>
      </c>
      <c r="C71" s="60"/>
      <c r="D71" s="14"/>
      <c r="E71" s="48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 s="6" customFormat="1" ht="21" customHeight="1">
      <c r="A72" s="31"/>
      <c r="B72" s="59" t="str">
        <f>IF(E68="INTERN","Colore della luce",IF(E68="FANALI","Colore della luce",""))</f>
        <v/>
      </c>
      <c r="C72" s="60"/>
      <c r="D72" s="15"/>
      <c r="E72" s="48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 s="6" customFormat="1" ht="21" customHeight="1">
      <c r="A73" s="31"/>
      <c r="B73" s="59" t="str">
        <f>IF(E68="INTERN","Sincronismo GPS",IF(E68="FANALI","Sincronismo GPS",""))</f>
        <v/>
      </c>
      <c r="C73" s="60"/>
      <c r="D73" s="15"/>
      <c r="E73" s="48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 s="6" customFormat="1" ht="21" customHeight="1" thickBot="1">
      <c r="A74" s="31"/>
      <c r="B74" s="61" t="str">
        <f>IF(D68=""," ","Note/specifiche")</f>
        <v xml:space="preserve"> </v>
      </c>
      <c r="C74" s="62"/>
      <c r="D74" s="51"/>
      <c r="E74" s="48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0.15" customHeight="1" thickBot="1">
      <c r="B75" s="7"/>
      <c r="C75" s="7"/>
      <c r="D75" s="25"/>
    </row>
    <row r="76" spans="1:25" s="3" customFormat="1" ht="20.45" customHeight="1">
      <c r="B76" s="53" t="s">
        <v>29</v>
      </c>
      <c r="C76" s="54"/>
      <c r="D76" s="73"/>
      <c r="E76" s="6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s="3" customFormat="1" ht="6" customHeight="1">
      <c r="B77" s="55"/>
      <c r="C77" s="56"/>
      <c r="D77" s="74"/>
      <c r="E77" s="6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21" customHeight="1">
      <c r="B78" s="55"/>
      <c r="C78" s="56"/>
      <c r="D78" s="75"/>
      <c r="E78" s="63"/>
    </row>
    <row r="79" spans="1:25" s="6" customFormat="1" ht="28.15" customHeight="1">
      <c r="A79" s="31"/>
      <c r="B79" s="64" t="s">
        <v>0</v>
      </c>
      <c r="C79" s="65"/>
      <c r="D79" s="11"/>
      <c r="E79" s="48" t="str">
        <f>MID(D79,1,6)</f>
        <v/>
      </c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 s="6" customFormat="1" ht="21" customHeight="1">
      <c r="A80" s="31"/>
      <c r="B80" s="59" t="str">
        <f>IF(D79=""," ","Q.ta")</f>
        <v xml:space="preserve"> </v>
      </c>
      <c r="C80" s="60"/>
      <c r="D80" s="10"/>
      <c r="E80" s="48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 s="6" customFormat="1" ht="21" customHeight="1">
      <c r="A81" s="31"/>
      <c r="B81" s="59" t="str">
        <f>IF(E79="INTERN","Caratteristica di lampeggio",IF(E79="FANALI","Caratteristica di lampeggio",""))</f>
        <v/>
      </c>
      <c r="C81" s="60"/>
      <c r="D81" s="13"/>
      <c r="E81" s="48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 s="6" customFormat="1" ht="21" customHeight="1">
      <c r="A82" s="31"/>
      <c r="B82" s="59" t="str">
        <f>IF(E79="INTERN","Portata                          MN",IF(E79="FANALI","Portata                          MN",""))</f>
        <v/>
      </c>
      <c r="C82" s="60"/>
      <c r="D82" s="14"/>
      <c r="E82" s="48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 s="6" customFormat="1" ht="21" customHeight="1">
      <c r="A83" s="31"/>
      <c r="B83" s="59" t="str">
        <f>IF(E79="INTERN","Colore della luce",IF(E79="FANALI","Colore della luce",""))</f>
        <v/>
      </c>
      <c r="C83" s="60"/>
      <c r="D83" s="15"/>
      <c r="E83" s="48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 s="6" customFormat="1" ht="21" customHeight="1">
      <c r="A84" s="31"/>
      <c r="B84" s="59" t="str">
        <f>IF(E79="INTERN","Sincronismo GPS",IF(E79="FANALI","Sincronismo GPS",""))</f>
        <v/>
      </c>
      <c r="C84" s="60"/>
      <c r="D84" s="15"/>
      <c r="E84" s="48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 s="6" customFormat="1" ht="21" customHeight="1" thickBot="1">
      <c r="A85" s="31"/>
      <c r="B85" s="61" t="str">
        <f>IF(D79=""," ","Note/specifiche")</f>
        <v xml:space="preserve"> </v>
      </c>
      <c r="C85" s="62"/>
      <c r="D85" s="51"/>
      <c r="E85" s="48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 s="3" customFormat="1">
      <c r="D86" s="23"/>
      <c r="E86" s="4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s="3" customFormat="1">
      <c r="B87" s="34"/>
      <c r="D87" s="23"/>
      <c r="E87" s="4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s="3" customFormat="1">
      <c r="B88" s="34"/>
      <c r="D88" s="23"/>
      <c r="E88" s="4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s="3" customFormat="1">
      <c r="B89" s="34"/>
      <c r="D89" s="23"/>
      <c r="E89" s="4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s="3" customFormat="1">
      <c r="B90" s="34"/>
      <c r="C90" s="34"/>
      <c r="D90" s="23"/>
      <c r="E90" s="4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s="3" customFormat="1">
      <c r="B91" s="34"/>
      <c r="C91" s="34"/>
      <c r="D91" s="23"/>
      <c r="E91" s="4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s="3" customFormat="1">
      <c r="B92" s="34"/>
      <c r="C92" s="34"/>
      <c r="D92" s="23"/>
      <c r="E92" s="4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s="3" customFormat="1">
      <c r="B93" s="34"/>
      <c r="C93" s="34"/>
      <c r="D93" s="23"/>
      <c r="E93" s="4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s="3" customFormat="1">
      <c r="B94" s="34"/>
      <c r="C94" s="34"/>
      <c r="D94" s="23"/>
      <c r="E94" s="4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s="3" customFormat="1">
      <c r="B95" s="34"/>
      <c r="C95" s="34"/>
      <c r="D95" s="23"/>
      <c r="E95" s="4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s="3" customFormat="1">
      <c r="B96" s="34"/>
      <c r="C96" s="34"/>
      <c r="D96" s="23"/>
      <c r="E96" s="4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4:25" s="3" customFormat="1">
      <c r="D97" s="23"/>
      <c r="E97" s="4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4:25" s="3" customFormat="1">
      <c r="D98" s="23"/>
      <c r="E98" s="4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4:25" s="3" customFormat="1">
      <c r="D99" s="23"/>
      <c r="E99" s="4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4:25" s="3" customFormat="1">
      <c r="D100" s="23"/>
      <c r="E100" s="4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4:25" s="3" customFormat="1">
      <c r="D101" s="23"/>
      <c r="E101" s="4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4:25" s="3" customFormat="1">
      <c r="D102" s="23"/>
      <c r="E102" s="4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4:25" s="3" customFormat="1">
      <c r="D103" s="23"/>
      <c r="E103" s="4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4:25" s="3" customFormat="1">
      <c r="D104" s="23"/>
      <c r="E104" s="4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4:25" s="3" customFormat="1">
      <c r="D105" s="23"/>
      <c r="E105" s="4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4:25" s="3" customFormat="1">
      <c r="D106" s="23"/>
      <c r="E106" s="4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4:25" s="3" customFormat="1">
      <c r="D107" s="23"/>
      <c r="E107" s="4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4:25" s="3" customFormat="1">
      <c r="D108" s="23"/>
      <c r="E108" s="4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4:25" s="3" customFormat="1">
      <c r="D109" s="23"/>
      <c r="E109" s="4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4:25" s="3" customFormat="1">
      <c r="D110" s="23"/>
      <c r="E110" s="4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4:25" s="3" customFormat="1">
      <c r="D111" s="23"/>
      <c r="E111" s="4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4:25">
      <c r="E112" s="46"/>
    </row>
    <row r="113" spans="5:5">
      <c r="E113" s="46"/>
    </row>
    <row r="114" spans="5:5">
      <c r="E114" s="46"/>
    </row>
  </sheetData>
  <sheetProtection formatCells="0" formatColumns="0" formatRows="0"/>
  <mergeCells count="66">
    <mergeCell ref="B12:C12"/>
    <mergeCell ref="B13:C13"/>
    <mergeCell ref="B14:C14"/>
    <mergeCell ref="B26:C26"/>
    <mergeCell ref="B29:C29"/>
    <mergeCell ref="E31:E33"/>
    <mergeCell ref="D31:D33"/>
    <mergeCell ref="B37:C37"/>
    <mergeCell ref="B72:C72"/>
    <mergeCell ref="B73:C73"/>
    <mergeCell ref="B59:C59"/>
    <mergeCell ref="B60:C60"/>
    <mergeCell ref="B61:C61"/>
    <mergeCell ref="B4:C4"/>
    <mergeCell ref="B5:C5"/>
    <mergeCell ref="B10:C10"/>
    <mergeCell ref="B11:C11"/>
    <mergeCell ref="B55:C55"/>
    <mergeCell ref="B50:C50"/>
    <mergeCell ref="B38:C38"/>
    <mergeCell ref="B15:C15"/>
    <mergeCell ref="B16:C16"/>
    <mergeCell ref="B34:C34"/>
    <mergeCell ref="B28:C28"/>
    <mergeCell ref="B27:C27"/>
    <mergeCell ref="B25:C25"/>
    <mergeCell ref="B24:C24"/>
    <mergeCell ref="B23:C23"/>
    <mergeCell ref="B36:C36"/>
    <mergeCell ref="B85:C85"/>
    <mergeCell ref="B80:C80"/>
    <mergeCell ref="B81:C81"/>
    <mergeCell ref="B82:C82"/>
    <mergeCell ref="B83:C83"/>
    <mergeCell ref="D20:D22"/>
    <mergeCell ref="B84:C84"/>
    <mergeCell ref="B74:C74"/>
    <mergeCell ref="E76:E78"/>
    <mergeCell ref="B79:C79"/>
    <mergeCell ref="B69:C69"/>
    <mergeCell ref="B70:C70"/>
    <mergeCell ref="B71:C71"/>
    <mergeCell ref="B68:C68"/>
    <mergeCell ref="E65:E67"/>
    <mergeCell ref="E52:E54"/>
    <mergeCell ref="E20:E22"/>
    <mergeCell ref="D52:D54"/>
    <mergeCell ref="B56:C56"/>
    <mergeCell ref="B57:C57"/>
    <mergeCell ref="B58:C58"/>
    <mergeCell ref="E1:E3"/>
    <mergeCell ref="D65:D67"/>
    <mergeCell ref="D76:D78"/>
    <mergeCell ref="B7:C9"/>
    <mergeCell ref="B20:C22"/>
    <mergeCell ref="B31:C33"/>
    <mergeCell ref="B52:C54"/>
    <mergeCell ref="B65:C67"/>
    <mergeCell ref="B76:C78"/>
    <mergeCell ref="B42:C42"/>
    <mergeCell ref="B44:C44"/>
    <mergeCell ref="B39:C39"/>
    <mergeCell ref="B40:C40"/>
    <mergeCell ref="B35:C35"/>
    <mergeCell ref="E7:E9"/>
    <mergeCell ref="D7:D9"/>
  </mergeCells>
  <pageMargins left="0.70866141732283472" right="0.70866141732283472" top="0" bottom="0" header="0" footer="0"/>
  <pageSetup paperSize="9" orientation="portrait" horizontalDpi="4294967293" r:id="rId1"/>
  <headerFooter>
    <oddFooter>&amp;RDATA EMISSIONE 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449FE9-480F-43B1-8A11-49F62C684517}">
          <x14:formula1>
            <xm:f>Foglio1!$D$13:$D$14</xm:f>
          </x14:formula1>
          <xm:sqref>D44</xm:sqref>
        </x14:dataValidation>
        <x14:dataValidation type="list" allowBlank="1" showInputMessage="1" showErrorMessage="1" xr:uid="{E06DD0F8-04C1-49FB-9AAA-82B11CC22EB9}">
          <x14:formula1>
            <xm:f>Foglio1!$H$3:$H$4</xm:f>
          </x14:formula1>
          <xm:sqref>D7:D9 D20:D22 D31:D33 D52:D54 D65:D67 D76:D78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Modulo</vt:lpstr>
      <vt:lpstr>Modulo!Area_stampa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maurizio marchionni</cp:lastModifiedBy>
  <cp:lastPrinted>2026-04-09T17:46:02Z</cp:lastPrinted>
  <dcterms:created xsi:type="dcterms:W3CDTF">2026-03-25T13:51:39Z</dcterms:created>
  <dcterms:modified xsi:type="dcterms:W3CDTF">2026-04-12T07:43:59Z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2026-02-10T00:00:00Z</vt:filetime>
  </property>
  <property fmtid="{D5CDD505-2E9C-101B-9397-08002B2CF9AE}" pid="3" name="Creator">
    <vt:lpwstr>Hewlett-Packard MFP</vt:lpwstr>
  </property>
  <property fmtid="{D5CDD505-2E9C-101B-9397-08002B2CF9AE}" pid="4" name="LastSaved">
    <vt:filetime>2026-02-10T00:00:00Z</vt:filetime>
  </property>
</Properties>
</file>